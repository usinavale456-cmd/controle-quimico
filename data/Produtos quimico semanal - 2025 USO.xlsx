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dri\OneDrive\Anexos de email\Desktop\"/>
    </mc:Choice>
  </mc:AlternateContent>
  <xr:revisionPtr revIDLastSave="0" documentId="13_ncr:1_{1F2DA1DF-E8F0-4483-A0EA-C05859C0EA8F}" xr6:coauthVersionLast="47" xr6:coauthVersionMax="47" xr10:uidLastSave="{00000000-0000-0000-0000-000000000000}"/>
  <bookViews>
    <workbookView xWindow="-110" yWindow="-110" windowWidth="19420" windowHeight="10300" tabRatio="500" firstSheet="4" activeTab="9" xr2:uid="{00000000-000D-0000-FFFF-FFFF00000000}"/>
  </bookViews>
  <sheets>
    <sheet name="semana 1" sheetId="1" r:id="rId1"/>
    <sheet name="semana 2" sheetId="2" r:id="rId2"/>
    <sheet name="semana 3" sheetId="3" r:id="rId3"/>
    <sheet name="semana 4" sheetId="4" r:id="rId4"/>
    <sheet name="semana 5" sheetId="5" r:id="rId5"/>
    <sheet name="semana 6" sheetId="6" r:id="rId6"/>
    <sheet name="semana 7" sheetId="7" r:id="rId7"/>
    <sheet name="semana 8" sheetId="8" r:id="rId8"/>
    <sheet name="semana 9" sheetId="9" r:id="rId9"/>
    <sheet name="semana 10" sheetId="10" r:id="rId10"/>
  </sheets>
  <definedNames>
    <definedName name="_xlnm.Print_Area" localSheetId="0">'semana 1'!$A$1:$Q$52</definedName>
    <definedName name="_xlnm.Print_Area" localSheetId="9">'semana 10'!$B$1:$Q$53</definedName>
    <definedName name="_xlnm.Print_Area" localSheetId="2">'semana 3'!$B$1:$Q$53</definedName>
    <definedName name="_xlnm.Print_Area" localSheetId="3">'semana 4'!$B$1:$Q$53</definedName>
    <definedName name="_xlnm.Print_Area" localSheetId="4">'semana 5'!$B$1:$Q$53</definedName>
    <definedName name="_xlnm.Print_Area" localSheetId="5">'semana 6'!$B$1:$Q$53</definedName>
    <definedName name="_xlnm.Print_Area" localSheetId="6">'semana 7'!$B$1:$Q$53</definedName>
    <definedName name="_xlnm.Print_Area" localSheetId="7">'semana 8'!$B$1:$Q$53</definedName>
    <definedName name="_xlnm.Print_Area" localSheetId="8">'semana 9'!$B$1:$Q$53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4" i="10" l="1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6" i="10"/>
  <c r="G35" i="10"/>
  <c r="G34" i="10"/>
  <c r="G33" i="10"/>
  <c r="G32" i="10"/>
  <c r="G31" i="10"/>
  <c r="G30" i="10"/>
  <c r="I27" i="10"/>
  <c r="G27" i="10"/>
  <c r="I26" i="10"/>
  <c r="G26" i="10"/>
  <c r="G25" i="10"/>
  <c r="G24" i="10"/>
  <c r="I23" i="10"/>
  <c r="G23" i="10"/>
  <c r="G22" i="10"/>
  <c r="G21" i="10"/>
  <c r="G20" i="10"/>
  <c r="G19" i="10"/>
  <c r="G18" i="10"/>
  <c r="P16" i="10"/>
  <c r="N16" i="10"/>
  <c r="I14" i="10"/>
  <c r="G14" i="10"/>
  <c r="I13" i="10"/>
  <c r="G13" i="10"/>
  <c r="I12" i="10"/>
  <c r="G12" i="10"/>
  <c r="G11" i="10"/>
  <c r="N10" i="10"/>
  <c r="I22" i="10" s="1"/>
  <c r="I10" i="10"/>
  <c r="G10" i="10"/>
  <c r="N9" i="10"/>
  <c r="I11" i="10" s="1"/>
  <c r="I9" i="10"/>
  <c r="G9" i="10"/>
  <c r="I8" i="10"/>
  <c r="G8" i="10"/>
  <c r="I7" i="10"/>
  <c r="G7" i="10"/>
  <c r="I6" i="10"/>
  <c r="G6" i="10"/>
  <c r="G53" i="9"/>
  <c r="G52" i="9"/>
  <c r="G51" i="9"/>
  <c r="G50" i="9"/>
  <c r="G49" i="9"/>
  <c r="G48" i="9"/>
  <c r="G47" i="9"/>
  <c r="G46" i="9"/>
  <c r="G45" i="9"/>
  <c r="G44" i="9"/>
  <c r="G43" i="9"/>
  <c r="I42" i="9"/>
  <c r="G42" i="9"/>
  <c r="G41" i="9"/>
  <c r="G40" i="9"/>
  <c r="G36" i="9"/>
  <c r="G35" i="9"/>
  <c r="G34" i="9"/>
  <c r="G33" i="9"/>
  <c r="G32" i="9"/>
  <c r="G31" i="9"/>
  <c r="G30" i="9"/>
  <c r="G27" i="9"/>
  <c r="G26" i="9"/>
  <c r="G25" i="9"/>
  <c r="G24" i="9"/>
  <c r="G23" i="9"/>
  <c r="G22" i="9"/>
  <c r="G21" i="9"/>
  <c r="G20" i="9"/>
  <c r="G19" i="9"/>
  <c r="G18" i="9"/>
  <c r="P16" i="9"/>
  <c r="N16" i="9"/>
  <c r="I50" i="9" s="1"/>
  <c r="G14" i="9"/>
  <c r="G13" i="9"/>
  <c r="G12" i="9"/>
  <c r="G11" i="9"/>
  <c r="N10" i="9"/>
  <c r="G10" i="9"/>
  <c r="N9" i="9"/>
  <c r="I8" i="9" s="1"/>
  <c r="G9" i="9"/>
  <c r="G8" i="9"/>
  <c r="G7" i="9"/>
  <c r="G6" i="9"/>
  <c r="G53" i="8"/>
  <c r="G52" i="8"/>
  <c r="I51" i="8"/>
  <c r="G51" i="8"/>
  <c r="I50" i="8"/>
  <c r="G50" i="8"/>
  <c r="G49" i="8"/>
  <c r="G48" i="8"/>
  <c r="I47" i="8"/>
  <c r="G47" i="8"/>
  <c r="G46" i="8"/>
  <c r="G45" i="8"/>
  <c r="G44" i="8"/>
  <c r="N22" i="8" s="1"/>
  <c r="I43" i="8"/>
  <c r="G43" i="8"/>
  <c r="I42" i="8"/>
  <c r="G42" i="8"/>
  <c r="G41" i="8"/>
  <c r="G40" i="8"/>
  <c r="I36" i="8"/>
  <c r="G36" i="8"/>
  <c r="G35" i="8"/>
  <c r="G34" i="8"/>
  <c r="G33" i="8"/>
  <c r="I32" i="8"/>
  <c r="G32" i="8"/>
  <c r="I31" i="8"/>
  <c r="G31" i="8"/>
  <c r="I30" i="8"/>
  <c r="G30" i="8"/>
  <c r="G27" i="8"/>
  <c r="G26" i="8"/>
  <c r="G25" i="8"/>
  <c r="I24" i="8"/>
  <c r="G24" i="8"/>
  <c r="G23" i="8"/>
  <c r="G22" i="8"/>
  <c r="I21" i="8"/>
  <c r="G21" i="8"/>
  <c r="I20" i="8"/>
  <c r="G20" i="8"/>
  <c r="G19" i="8"/>
  <c r="I18" i="8"/>
  <c r="G18" i="8"/>
  <c r="P16" i="8"/>
  <c r="N16" i="8"/>
  <c r="I53" i="8" s="1"/>
  <c r="G14" i="8"/>
  <c r="G13" i="8"/>
  <c r="G12" i="8"/>
  <c r="G11" i="8"/>
  <c r="N10" i="8"/>
  <c r="I26" i="8" s="1"/>
  <c r="G10" i="8"/>
  <c r="N9" i="8"/>
  <c r="N26" i="8" s="1"/>
  <c r="G9" i="8"/>
  <c r="I8" i="8"/>
  <c r="G8" i="8"/>
  <c r="G7" i="8"/>
  <c r="G6" i="8"/>
  <c r="N19" i="8" s="1"/>
  <c r="G53" i="7"/>
  <c r="I52" i="7"/>
  <c r="G52" i="7"/>
  <c r="G51" i="7"/>
  <c r="G50" i="7"/>
  <c r="G49" i="7"/>
  <c r="I48" i="7"/>
  <c r="G48" i="7"/>
  <c r="I47" i="7"/>
  <c r="G47" i="7"/>
  <c r="G46" i="7"/>
  <c r="G45" i="7"/>
  <c r="I44" i="7"/>
  <c r="G44" i="7"/>
  <c r="G43" i="7"/>
  <c r="G42" i="7"/>
  <c r="G41" i="7"/>
  <c r="I40" i="7"/>
  <c r="G40" i="7"/>
  <c r="I36" i="7"/>
  <c r="G36" i="7"/>
  <c r="G35" i="7"/>
  <c r="G34" i="7"/>
  <c r="I33" i="7"/>
  <c r="G33" i="7"/>
  <c r="G32" i="7"/>
  <c r="G31" i="7"/>
  <c r="I30" i="7"/>
  <c r="G30" i="7"/>
  <c r="G27" i="7"/>
  <c r="G26" i="7"/>
  <c r="G25" i="7"/>
  <c r="G24" i="7"/>
  <c r="I23" i="7"/>
  <c r="G23" i="7"/>
  <c r="G22" i="7"/>
  <c r="N21" i="7"/>
  <c r="I21" i="7"/>
  <c r="G21" i="7"/>
  <c r="G20" i="7"/>
  <c r="G19" i="7"/>
  <c r="G18" i="7"/>
  <c r="P16" i="7"/>
  <c r="N16" i="7"/>
  <c r="I50" i="7" s="1"/>
  <c r="G14" i="7"/>
  <c r="I13" i="7"/>
  <c r="G13" i="7"/>
  <c r="G12" i="7"/>
  <c r="I11" i="7"/>
  <c r="G11" i="7"/>
  <c r="N10" i="7"/>
  <c r="G10" i="7"/>
  <c r="N9" i="7"/>
  <c r="I12" i="7" s="1"/>
  <c r="I9" i="7"/>
  <c r="G9" i="7"/>
  <c r="I8" i="7"/>
  <c r="G8" i="7"/>
  <c r="G7" i="7"/>
  <c r="I6" i="7"/>
  <c r="G6" i="7"/>
  <c r="G53" i="6"/>
  <c r="I52" i="6"/>
  <c r="G52" i="6"/>
  <c r="G51" i="6"/>
  <c r="I50" i="6"/>
  <c r="G50" i="6"/>
  <c r="G49" i="6"/>
  <c r="G48" i="6"/>
  <c r="G47" i="6"/>
  <c r="G46" i="6"/>
  <c r="G45" i="6"/>
  <c r="I44" i="6"/>
  <c r="G44" i="6"/>
  <c r="G43" i="6"/>
  <c r="I42" i="6"/>
  <c r="G42" i="6"/>
  <c r="G41" i="6"/>
  <c r="G40" i="6"/>
  <c r="G36" i="6"/>
  <c r="G35" i="6"/>
  <c r="G34" i="6"/>
  <c r="I33" i="6"/>
  <c r="G33" i="6"/>
  <c r="G32" i="6"/>
  <c r="I31" i="6"/>
  <c r="G31" i="6"/>
  <c r="G30" i="6"/>
  <c r="G27" i="6"/>
  <c r="G26" i="6"/>
  <c r="I25" i="6"/>
  <c r="G25" i="6"/>
  <c r="G24" i="6"/>
  <c r="G23" i="6"/>
  <c r="G22" i="6"/>
  <c r="N21" i="6"/>
  <c r="I21" i="6"/>
  <c r="G21" i="6"/>
  <c r="G20" i="6"/>
  <c r="I19" i="6"/>
  <c r="G19" i="6"/>
  <c r="G18" i="6"/>
  <c r="P16" i="6"/>
  <c r="N16" i="6"/>
  <c r="I53" i="6" s="1"/>
  <c r="G14" i="6"/>
  <c r="G13" i="6"/>
  <c r="G12" i="6"/>
  <c r="G11" i="6"/>
  <c r="N10" i="6"/>
  <c r="I26" i="6" s="1"/>
  <c r="G10" i="6"/>
  <c r="N9" i="6"/>
  <c r="G9" i="6"/>
  <c r="G8" i="6"/>
  <c r="G7" i="6"/>
  <c r="G6" i="6"/>
  <c r="G53" i="5"/>
  <c r="G52" i="5"/>
  <c r="G51" i="5"/>
  <c r="G50" i="5"/>
  <c r="I49" i="5"/>
  <c r="G49" i="5"/>
  <c r="G48" i="5"/>
  <c r="I47" i="5"/>
  <c r="G47" i="5"/>
  <c r="G46" i="5"/>
  <c r="G45" i="5"/>
  <c r="G44" i="5"/>
  <c r="G43" i="5"/>
  <c r="G42" i="5"/>
  <c r="I41" i="5"/>
  <c r="G41" i="5"/>
  <c r="G40" i="5"/>
  <c r="I36" i="5"/>
  <c r="G36" i="5"/>
  <c r="G35" i="5"/>
  <c r="G34" i="5"/>
  <c r="G33" i="5"/>
  <c r="G32" i="5"/>
  <c r="G31" i="5"/>
  <c r="I30" i="5"/>
  <c r="G30" i="5"/>
  <c r="G27" i="5"/>
  <c r="G26" i="5"/>
  <c r="G25" i="5"/>
  <c r="G24" i="5"/>
  <c r="G23" i="5"/>
  <c r="N22" i="5"/>
  <c r="G22" i="5"/>
  <c r="G21" i="5"/>
  <c r="I20" i="5"/>
  <c r="G20" i="5"/>
  <c r="G19" i="5"/>
  <c r="G18" i="5"/>
  <c r="N20" i="5" s="1"/>
  <c r="P16" i="5"/>
  <c r="N16" i="5"/>
  <c r="I50" i="5" s="1"/>
  <c r="I14" i="5"/>
  <c r="G14" i="5"/>
  <c r="I13" i="5"/>
  <c r="G13" i="5"/>
  <c r="I12" i="5"/>
  <c r="G12" i="5"/>
  <c r="G11" i="5"/>
  <c r="N10" i="5"/>
  <c r="G10" i="5"/>
  <c r="N9" i="5"/>
  <c r="I10" i="5" s="1"/>
  <c r="I9" i="5"/>
  <c r="G9" i="5"/>
  <c r="I8" i="5"/>
  <c r="G8" i="5"/>
  <c r="I7" i="5"/>
  <c r="G7" i="5"/>
  <c r="G6" i="5"/>
  <c r="G53" i="4"/>
  <c r="G52" i="4"/>
  <c r="G51" i="4"/>
  <c r="G50" i="4"/>
  <c r="G49" i="4"/>
  <c r="G48" i="4"/>
  <c r="G47" i="4"/>
  <c r="I46" i="4"/>
  <c r="G46" i="4"/>
  <c r="I45" i="4"/>
  <c r="G45" i="4"/>
  <c r="G44" i="4"/>
  <c r="G43" i="4"/>
  <c r="G42" i="4"/>
  <c r="G41" i="4"/>
  <c r="G40" i="4"/>
  <c r="G36" i="4"/>
  <c r="I35" i="4"/>
  <c r="G35" i="4"/>
  <c r="G34" i="4"/>
  <c r="I33" i="4"/>
  <c r="G33" i="4"/>
  <c r="I32" i="4"/>
  <c r="G32" i="4"/>
  <c r="G31" i="4"/>
  <c r="G30" i="4"/>
  <c r="G27" i="4"/>
  <c r="G26" i="4"/>
  <c r="I25" i="4"/>
  <c r="G25" i="4"/>
  <c r="I24" i="4"/>
  <c r="G24" i="4"/>
  <c r="G23" i="4"/>
  <c r="G22" i="4"/>
  <c r="G21" i="4"/>
  <c r="G20" i="4"/>
  <c r="I19" i="4"/>
  <c r="G19" i="4"/>
  <c r="I18" i="4"/>
  <c r="G18" i="4"/>
  <c r="N20" i="4" s="1"/>
  <c r="P16" i="4"/>
  <c r="N16" i="4"/>
  <c r="I14" i="4"/>
  <c r="G14" i="4"/>
  <c r="G13" i="4"/>
  <c r="I12" i="4"/>
  <c r="G12" i="4"/>
  <c r="I11" i="4"/>
  <c r="G11" i="4"/>
  <c r="N10" i="4"/>
  <c r="I20" i="4" s="1"/>
  <c r="I10" i="4"/>
  <c r="G10" i="4"/>
  <c r="N9" i="4"/>
  <c r="I13" i="4" s="1"/>
  <c r="G9" i="4"/>
  <c r="I8" i="4"/>
  <c r="G8" i="4"/>
  <c r="I7" i="4"/>
  <c r="G7" i="4"/>
  <c r="I6" i="4"/>
  <c r="G6" i="4"/>
  <c r="G53" i="3"/>
  <c r="G52" i="3"/>
  <c r="I51" i="3"/>
  <c r="G51" i="3"/>
  <c r="G50" i="3"/>
  <c r="I49" i="3"/>
  <c r="G49" i="3"/>
  <c r="I48" i="3"/>
  <c r="G48" i="3"/>
  <c r="G47" i="3"/>
  <c r="I46" i="3"/>
  <c r="G46" i="3"/>
  <c r="G45" i="3"/>
  <c r="G44" i="3"/>
  <c r="I43" i="3"/>
  <c r="G43" i="3"/>
  <c r="G42" i="3"/>
  <c r="I41" i="3"/>
  <c r="G41" i="3"/>
  <c r="I40" i="3"/>
  <c r="G40" i="3"/>
  <c r="G36" i="3"/>
  <c r="I35" i="3"/>
  <c r="G35" i="3"/>
  <c r="G34" i="3"/>
  <c r="I33" i="3"/>
  <c r="G33" i="3"/>
  <c r="I32" i="3"/>
  <c r="G32" i="3"/>
  <c r="I31" i="3"/>
  <c r="G31" i="3"/>
  <c r="G30" i="3"/>
  <c r="I27" i="3"/>
  <c r="G27" i="3"/>
  <c r="G26" i="3"/>
  <c r="I25" i="3"/>
  <c r="G25" i="3"/>
  <c r="I24" i="3"/>
  <c r="G24" i="3"/>
  <c r="I23" i="3"/>
  <c r="G23" i="3"/>
  <c r="G22" i="3"/>
  <c r="I21" i="3"/>
  <c r="G21" i="3"/>
  <c r="G20" i="3"/>
  <c r="I19" i="3"/>
  <c r="G19" i="3"/>
  <c r="I18" i="3"/>
  <c r="G18" i="3"/>
  <c r="P16" i="3"/>
  <c r="N16" i="3"/>
  <c r="I52" i="3" s="1"/>
  <c r="I14" i="3"/>
  <c r="G14" i="3"/>
  <c r="I13" i="3"/>
  <c r="G13" i="3"/>
  <c r="G12" i="3"/>
  <c r="I11" i="3"/>
  <c r="G11" i="3"/>
  <c r="N10" i="3"/>
  <c r="I20" i="3" s="1"/>
  <c r="I10" i="3"/>
  <c r="G10" i="3"/>
  <c r="N9" i="3"/>
  <c r="I9" i="3"/>
  <c r="G9" i="3"/>
  <c r="I8" i="3"/>
  <c r="G8" i="3"/>
  <c r="N19" i="3" s="1"/>
  <c r="I7" i="3"/>
  <c r="G7" i="3"/>
  <c r="I6" i="3"/>
  <c r="G6" i="3"/>
  <c r="I52" i="2"/>
  <c r="G52" i="2"/>
  <c r="E52" i="2"/>
  <c r="H52" i="2" s="1"/>
  <c r="G51" i="2"/>
  <c r="I50" i="2"/>
  <c r="G50" i="2"/>
  <c r="H49" i="2"/>
  <c r="G49" i="2"/>
  <c r="E49" i="2"/>
  <c r="G48" i="2"/>
  <c r="I47" i="2"/>
  <c r="G47" i="2"/>
  <c r="G46" i="2"/>
  <c r="E46" i="2"/>
  <c r="H46" i="2" s="1"/>
  <c r="I45" i="2"/>
  <c r="G45" i="2"/>
  <c r="I44" i="2"/>
  <c r="G44" i="2"/>
  <c r="E44" i="2"/>
  <c r="H44" i="2" s="1"/>
  <c r="G43" i="2"/>
  <c r="I42" i="2"/>
  <c r="G42" i="2"/>
  <c r="H41" i="2"/>
  <c r="G41" i="2"/>
  <c r="N22" i="2" s="1"/>
  <c r="E41" i="2"/>
  <c r="G40" i="2"/>
  <c r="I36" i="2"/>
  <c r="G36" i="2"/>
  <c r="G35" i="2"/>
  <c r="E35" i="2"/>
  <c r="H35" i="2" s="1"/>
  <c r="I34" i="2"/>
  <c r="G34" i="2"/>
  <c r="I33" i="2"/>
  <c r="G33" i="2"/>
  <c r="N21" i="2" s="1"/>
  <c r="N28" i="2" s="1"/>
  <c r="E33" i="2"/>
  <c r="H33" i="2" s="1"/>
  <c r="G32" i="2"/>
  <c r="I31" i="2"/>
  <c r="G31" i="2"/>
  <c r="I30" i="2"/>
  <c r="G30" i="2"/>
  <c r="G27" i="2"/>
  <c r="H27" i="2" s="1"/>
  <c r="E27" i="2"/>
  <c r="G26" i="2"/>
  <c r="H25" i="2"/>
  <c r="G25" i="2"/>
  <c r="G24" i="2"/>
  <c r="E24" i="2"/>
  <c r="G23" i="2"/>
  <c r="G22" i="2"/>
  <c r="I21" i="2"/>
  <c r="G21" i="2"/>
  <c r="G20" i="2"/>
  <c r="H19" i="2"/>
  <c r="G19" i="2"/>
  <c r="G18" i="2"/>
  <c r="E18" i="2"/>
  <c r="P16" i="2"/>
  <c r="N16" i="2"/>
  <c r="H14" i="2"/>
  <c r="G14" i="2"/>
  <c r="E14" i="2"/>
  <c r="G13" i="2"/>
  <c r="G12" i="2"/>
  <c r="G11" i="2"/>
  <c r="E11" i="2"/>
  <c r="N10" i="2"/>
  <c r="I26" i="2" s="1"/>
  <c r="G10" i="2"/>
  <c r="E10" i="2"/>
  <c r="N9" i="2"/>
  <c r="I7" i="2" s="1"/>
  <c r="G9" i="2"/>
  <c r="O8" i="2"/>
  <c r="G8" i="2"/>
  <c r="G7" i="2"/>
  <c r="G6" i="2"/>
  <c r="O5" i="2"/>
  <c r="H52" i="1"/>
  <c r="G52" i="1"/>
  <c r="G51" i="1"/>
  <c r="E51" i="1"/>
  <c r="E51" i="2" s="1"/>
  <c r="H51" i="2" s="1"/>
  <c r="G50" i="1"/>
  <c r="E50" i="1"/>
  <c r="H49" i="1"/>
  <c r="G49" i="1"/>
  <c r="E49" i="1"/>
  <c r="H48" i="1"/>
  <c r="G48" i="1"/>
  <c r="E48" i="1"/>
  <c r="E48" i="2" s="1"/>
  <c r="H48" i="2" s="1"/>
  <c r="G47" i="1"/>
  <c r="E47" i="1"/>
  <c r="E47" i="2" s="1"/>
  <c r="H47" i="2" s="1"/>
  <c r="H46" i="1"/>
  <c r="G46" i="1"/>
  <c r="E46" i="1"/>
  <c r="G45" i="1"/>
  <c r="E45" i="1"/>
  <c r="H44" i="1"/>
  <c r="G44" i="1"/>
  <c r="E44" i="1"/>
  <c r="H43" i="1"/>
  <c r="G43" i="1"/>
  <c r="E43" i="1"/>
  <c r="E43" i="2" s="1"/>
  <c r="H43" i="2" s="1"/>
  <c r="G42" i="1"/>
  <c r="E42" i="1"/>
  <c r="I41" i="1"/>
  <c r="H41" i="1"/>
  <c r="G41" i="1"/>
  <c r="E41" i="1"/>
  <c r="H40" i="1"/>
  <c r="G40" i="1"/>
  <c r="E40" i="1"/>
  <c r="E40" i="2" s="1"/>
  <c r="H40" i="2" s="1"/>
  <c r="G36" i="1"/>
  <c r="E36" i="1"/>
  <c r="E36" i="2" s="1"/>
  <c r="H36" i="2" s="1"/>
  <c r="H35" i="1"/>
  <c r="G35" i="1"/>
  <c r="E35" i="1"/>
  <c r="G34" i="1"/>
  <c r="E34" i="1"/>
  <c r="I33" i="1"/>
  <c r="H33" i="1"/>
  <c r="G33" i="1"/>
  <c r="E33" i="1"/>
  <c r="H32" i="1"/>
  <c r="G32" i="1"/>
  <c r="E32" i="1"/>
  <c r="E32" i="2" s="1"/>
  <c r="H32" i="2" s="1"/>
  <c r="G31" i="1"/>
  <c r="E31" i="1"/>
  <c r="H30" i="1"/>
  <c r="G30" i="1"/>
  <c r="E30" i="1"/>
  <c r="E30" i="2" s="1"/>
  <c r="H30" i="2" s="1"/>
  <c r="H26" i="1"/>
  <c r="H26" i="2" s="1"/>
  <c r="G26" i="1"/>
  <c r="E26" i="1"/>
  <c r="E26" i="2" s="1"/>
  <c r="G25" i="1"/>
  <c r="E25" i="1"/>
  <c r="H25" i="1" s="1"/>
  <c r="G24" i="1"/>
  <c r="E24" i="1"/>
  <c r="H24" i="1" s="1"/>
  <c r="H24" i="2" s="1"/>
  <c r="H23" i="1"/>
  <c r="H23" i="2" s="1"/>
  <c r="G23" i="1"/>
  <c r="E23" i="1"/>
  <c r="E23" i="2" s="1"/>
  <c r="G22" i="1"/>
  <c r="E22" i="1"/>
  <c r="E22" i="2" s="1"/>
  <c r="N21" i="1"/>
  <c r="H21" i="1"/>
  <c r="H21" i="2" s="1"/>
  <c r="G21" i="1"/>
  <c r="E21" i="1"/>
  <c r="E21" i="2" s="1"/>
  <c r="H20" i="1"/>
  <c r="H20" i="2" s="1"/>
  <c r="G20" i="1"/>
  <c r="E20" i="1"/>
  <c r="E20" i="2" s="1"/>
  <c r="G19" i="1"/>
  <c r="E19" i="1"/>
  <c r="H19" i="1" s="1"/>
  <c r="H18" i="1"/>
  <c r="H18" i="2" s="1"/>
  <c r="G18" i="1"/>
  <c r="N20" i="1" s="1"/>
  <c r="E18" i="1"/>
  <c r="N16" i="1"/>
  <c r="I44" i="1" s="1"/>
  <c r="O15" i="1"/>
  <c r="O15" i="2" s="1"/>
  <c r="O14" i="1"/>
  <c r="I14" i="1"/>
  <c r="H14" i="1"/>
  <c r="G14" i="1"/>
  <c r="E14" i="1"/>
  <c r="I13" i="1"/>
  <c r="E13" i="1"/>
  <c r="E13" i="2" s="1"/>
  <c r="I12" i="1"/>
  <c r="G12" i="1"/>
  <c r="E12" i="1"/>
  <c r="J11" i="1"/>
  <c r="I11" i="1"/>
  <c r="H11" i="1"/>
  <c r="H11" i="2" s="1"/>
  <c r="E11" i="1"/>
  <c r="G11" i="1" s="1"/>
  <c r="N10" i="1"/>
  <c r="I26" i="1" s="1"/>
  <c r="I10" i="1"/>
  <c r="H10" i="1"/>
  <c r="H10" i="2" s="1"/>
  <c r="G10" i="1"/>
  <c r="E10" i="1"/>
  <c r="O9" i="1"/>
  <c r="J14" i="1" s="1"/>
  <c r="N9" i="1"/>
  <c r="J9" i="1"/>
  <c r="I9" i="1"/>
  <c r="H9" i="1"/>
  <c r="H9" i="2" s="1"/>
  <c r="E9" i="1"/>
  <c r="E9" i="2" s="1"/>
  <c r="O8" i="1"/>
  <c r="I8" i="1"/>
  <c r="E8" i="1"/>
  <c r="E8" i="2" s="1"/>
  <c r="O7" i="1"/>
  <c r="O7" i="4" s="1"/>
  <c r="I7" i="1"/>
  <c r="E7" i="1"/>
  <c r="J7" i="1" s="1"/>
  <c r="O6" i="1"/>
  <c r="J6" i="1"/>
  <c r="I6" i="1"/>
  <c r="H6" i="1"/>
  <c r="H6" i="2" s="1"/>
  <c r="E6" i="1"/>
  <c r="G6" i="1" s="1"/>
  <c r="O5" i="1"/>
  <c r="E44" i="3"/>
  <c r="E43" i="3"/>
  <c r="H26" i="3"/>
  <c r="H14" i="3"/>
  <c r="O5" i="3"/>
  <c r="E46" i="3"/>
  <c r="E33" i="3"/>
  <c r="H43" i="3"/>
  <c r="E40" i="3"/>
  <c r="H51" i="3"/>
  <c r="H10" i="3"/>
  <c r="H20" i="3"/>
  <c r="H44" i="3"/>
  <c r="E32" i="3"/>
  <c r="E32" i="4" s="1"/>
  <c r="E53" i="3"/>
  <c r="E47" i="3"/>
  <c r="H18" i="3"/>
  <c r="E22" i="3"/>
  <c r="H36" i="3"/>
  <c r="E54" i="10"/>
  <c r="H54" i="10"/>
  <c r="H49" i="3"/>
  <c r="H46" i="3"/>
  <c r="H46" i="4"/>
  <c r="H35" i="3"/>
  <c r="E11" i="3"/>
  <c r="E10" i="3"/>
  <c r="E24" i="3"/>
  <c r="O5" i="4"/>
  <c r="O5" i="5" s="1"/>
  <c r="E23" i="3"/>
  <c r="H9" i="3"/>
  <c r="E13" i="3"/>
  <c r="E20" i="3"/>
  <c r="H32" i="3"/>
  <c r="E49" i="3"/>
  <c r="O8" i="3"/>
  <c r="E26" i="3"/>
  <c r="H19" i="3"/>
  <c r="H40" i="3"/>
  <c r="E30" i="3"/>
  <c r="H47" i="3"/>
  <c r="E51" i="3"/>
  <c r="E26" i="4"/>
  <c r="H41" i="3"/>
  <c r="E48" i="3"/>
  <c r="H11" i="3"/>
  <c r="E41" i="3"/>
  <c r="E14" i="3"/>
  <c r="H33" i="3"/>
  <c r="E44" i="4"/>
  <c r="E27" i="3"/>
  <c r="E8" i="3"/>
  <c r="H53" i="3"/>
  <c r="H27" i="3"/>
  <c r="H14" i="4"/>
  <c r="H52" i="3"/>
  <c r="E27" i="4"/>
  <c r="H24" i="3"/>
  <c r="E36" i="3"/>
  <c r="E52" i="3"/>
  <c r="H30" i="3"/>
  <c r="H30" i="4" s="1"/>
  <c r="H6" i="3"/>
  <c r="H6" i="4" s="1"/>
  <c r="H21" i="3"/>
  <c r="E35" i="3"/>
  <c r="E9" i="3"/>
  <c r="O15" i="3"/>
  <c r="H25" i="3"/>
  <c r="H48" i="3"/>
  <c r="H23" i="3"/>
  <c r="E18" i="3"/>
  <c r="E13" i="4"/>
  <c r="E21" i="3"/>
  <c r="O10" i="4" l="1"/>
  <c r="O10" i="3"/>
  <c r="N21" i="3"/>
  <c r="O6" i="9"/>
  <c r="O6" i="8"/>
  <c r="O6" i="7"/>
  <c r="O6" i="6"/>
  <c r="O6" i="5"/>
  <c r="O10" i="5" s="1"/>
  <c r="O6" i="10"/>
  <c r="O6" i="2"/>
  <c r="O10" i="2" s="1"/>
  <c r="O6" i="4"/>
  <c r="G8" i="1"/>
  <c r="J10" i="1"/>
  <c r="O20" i="2"/>
  <c r="I21" i="1"/>
  <c r="I43" i="1"/>
  <c r="E50" i="2"/>
  <c r="H50" i="1"/>
  <c r="I48" i="2"/>
  <c r="I40" i="2"/>
  <c r="I51" i="2"/>
  <c r="I43" i="2"/>
  <c r="I32" i="2"/>
  <c r="I46" i="2"/>
  <c r="I35" i="2"/>
  <c r="N29" i="2"/>
  <c r="I49" i="2"/>
  <c r="I41" i="2"/>
  <c r="I19" i="2"/>
  <c r="I25" i="2"/>
  <c r="N19" i="4"/>
  <c r="N21" i="4"/>
  <c r="N22" i="4"/>
  <c r="N19" i="5"/>
  <c r="I13" i="2"/>
  <c r="I9" i="2"/>
  <c r="I10" i="2"/>
  <c r="I11" i="2"/>
  <c r="I6" i="2"/>
  <c r="I14" i="2"/>
  <c r="I12" i="2"/>
  <c r="I13" i="6"/>
  <c r="I9" i="6"/>
  <c r="I10" i="6"/>
  <c r="I11" i="6"/>
  <c r="I6" i="6"/>
  <c r="I14" i="6"/>
  <c r="N26" i="6"/>
  <c r="I12" i="6"/>
  <c r="I8" i="6"/>
  <c r="I7" i="6"/>
  <c r="N22" i="6"/>
  <c r="O10" i="1"/>
  <c r="G7" i="1"/>
  <c r="N19" i="1" s="1"/>
  <c r="G13" i="1"/>
  <c r="I30" i="1"/>
  <c r="E6" i="2"/>
  <c r="I8" i="2"/>
  <c r="O7" i="3"/>
  <c r="O9" i="3" s="1"/>
  <c r="N26" i="3"/>
  <c r="N22" i="3"/>
  <c r="N19" i="7"/>
  <c r="N27" i="1"/>
  <c r="I25" i="1"/>
  <c r="I20" i="1"/>
  <c r="H7" i="1"/>
  <c r="J8" i="1"/>
  <c r="J12" i="1"/>
  <c r="H13" i="1"/>
  <c r="H13" i="2" s="1"/>
  <c r="O14" i="2"/>
  <c r="O16" i="1"/>
  <c r="I23" i="1"/>
  <c r="N28" i="1"/>
  <c r="I32" i="1"/>
  <c r="E42" i="2"/>
  <c r="H42" i="1"/>
  <c r="I46" i="1"/>
  <c r="N19" i="2"/>
  <c r="I27" i="2"/>
  <c r="I23" i="2"/>
  <c r="I24" i="2"/>
  <c r="I18" i="2"/>
  <c r="I20" i="2"/>
  <c r="I22" i="2"/>
  <c r="H8" i="1"/>
  <c r="H8" i="2" s="1"/>
  <c r="I18" i="1"/>
  <c r="H22" i="1"/>
  <c r="H22" i="2" s="1"/>
  <c r="N22" i="1"/>
  <c r="N29" i="1" s="1"/>
  <c r="H51" i="1"/>
  <c r="E7" i="2"/>
  <c r="N20" i="2"/>
  <c r="N27" i="2" s="1"/>
  <c r="N26" i="2"/>
  <c r="N20" i="3"/>
  <c r="N23" i="3" s="1"/>
  <c r="N30" i="3" s="1"/>
  <c r="N27" i="5"/>
  <c r="N19" i="6"/>
  <c r="J13" i="1"/>
  <c r="I52" i="1"/>
  <c r="I47" i="1"/>
  <c r="I36" i="1"/>
  <c r="I50" i="1"/>
  <c r="I42" i="1"/>
  <c r="I31" i="1"/>
  <c r="I45" i="1"/>
  <c r="I34" i="1"/>
  <c r="I48" i="1"/>
  <c r="I40" i="1"/>
  <c r="I22" i="1"/>
  <c r="I51" i="1"/>
  <c r="E19" i="2"/>
  <c r="E25" i="2"/>
  <c r="I24" i="1"/>
  <c r="E34" i="2"/>
  <c r="H34" i="1"/>
  <c r="I19" i="1"/>
  <c r="O7" i="10"/>
  <c r="O7" i="9"/>
  <c r="O7" i="8"/>
  <c r="O7" i="7"/>
  <c r="O7" i="6"/>
  <c r="O7" i="5"/>
  <c r="O7" i="2"/>
  <c r="O9" i="2" s="1"/>
  <c r="G9" i="1"/>
  <c r="E12" i="2"/>
  <c r="H12" i="1"/>
  <c r="H12" i="2" s="1"/>
  <c r="E31" i="2"/>
  <c r="H31" i="1"/>
  <c r="I35" i="1"/>
  <c r="E45" i="2"/>
  <c r="H45" i="1"/>
  <c r="I49" i="1"/>
  <c r="O6" i="3"/>
  <c r="N20" i="6"/>
  <c r="N28" i="6"/>
  <c r="I22" i="3"/>
  <c r="I26" i="3"/>
  <c r="I34" i="3"/>
  <c r="I45" i="3"/>
  <c r="I53" i="3"/>
  <c r="I9" i="4"/>
  <c r="I23" i="4"/>
  <c r="I27" i="4"/>
  <c r="N28" i="7"/>
  <c r="I42" i="3"/>
  <c r="I50" i="3"/>
  <c r="I47" i="4"/>
  <c r="I50" i="4"/>
  <c r="I42" i="4"/>
  <c r="I53" i="4"/>
  <c r="I48" i="4"/>
  <c r="I40" i="4"/>
  <c r="I51" i="4"/>
  <c r="I43" i="4"/>
  <c r="I49" i="4"/>
  <c r="I41" i="4"/>
  <c r="I22" i="4"/>
  <c r="I26" i="4"/>
  <c r="I34" i="4"/>
  <c r="I36" i="4"/>
  <c r="I44" i="4"/>
  <c r="N21" i="5"/>
  <c r="H36" i="1"/>
  <c r="H47" i="1"/>
  <c r="I12" i="3"/>
  <c r="I30" i="3"/>
  <c r="I36" i="3"/>
  <c r="I47" i="3"/>
  <c r="I21" i="4"/>
  <c r="N27" i="4"/>
  <c r="I31" i="4"/>
  <c r="N20" i="7"/>
  <c r="I44" i="3"/>
  <c r="I30" i="4"/>
  <c r="I52" i="4"/>
  <c r="I51" i="10"/>
  <c r="I43" i="10"/>
  <c r="I32" i="10"/>
  <c r="I54" i="10"/>
  <c r="I46" i="10"/>
  <c r="I35" i="10"/>
  <c r="N29" i="10"/>
  <c r="I49" i="10"/>
  <c r="I41" i="10"/>
  <c r="I52" i="10"/>
  <c r="I44" i="10"/>
  <c r="I33" i="10"/>
  <c r="N28" i="10"/>
  <c r="I47" i="10"/>
  <c r="I36" i="10"/>
  <c r="I30" i="10"/>
  <c r="I50" i="10"/>
  <c r="I42" i="10"/>
  <c r="I31" i="10"/>
  <c r="I53" i="10"/>
  <c r="I45" i="10"/>
  <c r="I34" i="10"/>
  <c r="I48" i="10"/>
  <c r="I40" i="10"/>
  <c r="N22" i="7"/>
  <c r="I48" i="9"/>
  <c r="I40" i="9"/>
  <c r="I51" i="9"/>
  <c r="I43" i="9"/>
  <c r="I32" i="9"/>
  <c r="I46" i="9"/>
  <c r="I35" i="9"/>
  <c r="I49" i="9"/>
  <c r="I41" i="9"/>
  <c r="I52" i="9"/>
  <c r="I44" i="9"/>
  <c r="I33" i="9"/>
  <c r="N28" i="9"/>
  <c r="I47" i="9"/>
  <c r="I36" i="9"/>
  <c r="I30" i="9"/>
  <c r="I53" i="9"/>
  <c r="I45" i="9"/>
  <c r="I34" i="9"/>
  <c r="I31" i="9"/>
  <c r="I19" i="5"/>
  <c r="I25" i="5"/>
  <c r="N28" i="5"/>
  <c r="I33" i="5"/>
  <c r="I44" i="5"/>
  <c r="I52" i="5"/>
  <c r="I20" i="6"/>
  <c r="I30" i="6"/>
  <c r="I36" i="6"/>
  <c r="I47" i="6"/>
  <c r="N19" i="9"/>
  <c r="I27" i="9"/>
  <c r="I23" i="9"/>
  <c r="I24" i="9"/>
  <c r="I18" i="9"/>
  <c r="I25" i="9"/>
  <c r="I19" i="9"/>
  <c r="I20" i="9"/>
  <c r="I6" i="5"/>
  <c r="I11" i="5"/>
  <c r="N29" i="5"/>
  <c r="I35" i="5"/>
  <c r="I46" i="5"/>
  <c r="I41" i="6"/>
  <c r="I49" i="6"/>
  <c r="I7" i="7"/>
  <c r="I25" i="7"/>
  <c r="I27" i="7"/>
  <c r="I18" i="5"/>
  <c r="I24" i="5"/>
  <c r="I32" i="5"/>
  <c r="I43" i="5"/>
  <c r="I51" i="5"/>
  <c r="N29" i="6"/>
  <c r="I35" i="6"/>
  <c r="I46" i="6"/>
  <c r="I20" i="7"/>
  <c r="I13" i="8"/>
  <c r="I9" i="8"/>
  <c r="I11" i="8"/>
  <c r="I6" i="8"/>
  <c r="I14" i="8"/>
  <c r="I7" i="8"/>
  <c r="I21" i="9"/>
  <c r="N21" i="9"/>
  <c r="I23" i="5"/>
  <c r="I27" i="5"/>
  <c r="I40" i="5"/>
  <c r="I48" i="5"/>
  <c r="I18" i="6"/>
  <c r="I24" i="6"/>
  <c r="I32" i="6"/>
  <c r="I43" i="6"/>
  <c r="I51" i="6"/>
  <c r="I26" i="7"/>
  <c r="I22" i="7"/>
  <c r="I24" i="7"/>
  <c r="I18" i="7"/>
  <c r="N20" i="9"/>
  <c r="N21" i="10"/>
  <c r="I22" i="5"/>
  <c r="I26" i="5"/>
  <c r="I34" i="5"/>
  <c r="I45" i="5"/>
  <c r="I53" i="5"/>
  <c r="I23" i="6"/>
  <c r="I27" i="6"/>
  <c r="I40" i="6"/>
  <c r="I48" i="6"/>
  <c r="I22" i="9"/>
  <c r="I21" i="5"/>
  <c r="I31" i="5"/>
  <c r="I42" i="5"/>
  <c r="I22" i="6"/>
  <c r="I34" i="6"/>
  <c r="I45" i="6"/>
  <c r="I10" i="7"/>
  <c r="I14" i="7"/>
  <c r="I19" i="7"/>
  <c r="I10" i="8"/>
  <c r="I12" i="8"/>
  <c r="N21" i="8"/>
  <c r="I13" i="9"/>
  <c r="I9" i="9"/>
  <c r="I10" i="9"/>
  <c r="I11" i="9"/>
  <c r="I6" i="9"/>
  <c r="I14" i="9"/>
  <c r="I7" i="9"/>
  <c r="N26" i="9"/>
  <c r="I12" i="9"/>
  <c r="I26" i="9"/>
  <c r="N19" i="10"/>
  <c r="I24" i="10"/>
  <c r="I18" i="10"/>
  <c r="I25" i="10"/>
  <c r="I19" i="10"/>
  <c r="I20" i="10"/>
  <c r="I21" i="10"/>
  <c r="I41" i="7"/>
  <c r="I49" i="7"/>
  <c r="I19" i="8"/>
  <c r="I25" i="8"/>
  <c r="N28" i="8"/>
  <c r="I33" i="8"/>
  <c r="I44" i="8"/>
  <c r="I52" i="8"/>
  <c r="N22" i="9"/>
  <c r="N29" i="9" s="1"/>
  <c r="I35" i="7"/>
  <c r="I46" i="7"/>
  <c r="N20" i="8"/>
  <c r="I41" i="8"/>
  <c r="I49" i="8"/>
  <c r="N22" i="10"/>
  <c r="N26" i="10"/>
  <c r="I32" i="7"/>
  <c r="I43" i="7"/>
  <c r="I51" i="7"/>
  <c r="N29" i="8"/>
  <c r="I35" i="8"/>
  <c r="I46" i="8"/>
  <c r="N20" i="10"/>
  <c r="I34" i="7"/>
  <c r="I45" i="7"/>
  <c r="I53" i="7"/>
  <c r="I23" i="8"/>
  <c r="I27" i="8"/>
  <c r="I40" i="8"/>
  <c r="I48" i="8"/>
  <c r="I31" i="7"/>
  <c r="I42" i="7"/>
  <c r="I22" i="8"/>
  <c r="I34" i="8"/>
  <c r="I45" i="8"/>
  <c r="H41" i="4"/>
  <c r="H47" i="4"/>
  <c r="E51" i="4"/>
  <c r="O14" i="3"/>
  <c r="H22" i="3"/>
  <c r="E30" i="4"/>
  <c r="E27" i="5"/>
  <c r="E25" i="3"/>
  <c r="E53" i="4"/>
  <c r="E8" i="4"/>
  <c r="E44" i="5"/>
  <c r="E24" i="4"/>
  <c r="H20" i="4"/>
  <c r="H12" i="3"/>
  <c r="O5" i="6"/>
  <c r="H47" i="5"/>
  <c r="H19" i="4"/>
  <c r="E24" i="5"/>
  <c r="E7" i="3"/>
  <c r="H20" i="5"/>
  <c r="E6" i="3"/>
  <c r="H8" i="3"/>
  <c r="H48" i="4"/>
  <c r="E19" i="3"/>
  <c r="E14" i="4"/>
  <c r="H13" i="3"/>
  <c r="H24" i="4"/>
  <c r="H14" i="5"/>
  <c r="E45" i="3"/>
  <c r="E32" i="5"/>
  <c r="E20" i="4"/>
  <c r="E51" i="5"/>
  <c r="E33" i="4"/>
  <c r="H27" i="4"/>
  <c r="E10" i="4"/>
  <c r="H25" i="4"/>
  <c r="H36" i="4"/>
  <c r="H36" i="5" s="1"/>
  <c r="H46" i="5"/>
  <c r="H10" i="4"/>
  <c r="E12" i="3"/>
  <c r="E40" i="4"/>
  <c r="H9" i="4"/>
  <c r="E46" i="4"/>
  <c r="E35" i="4"/>
  <c r="H44" i="4"/>
  <c r="E34" i="3"/>
  <c r="H23" i="4"/>
  <c r="E23" i="4"/>
  <c r="E31" i="3"/>
  <c r="E18" i="4"/>
  <c r="H53" i="4"/>
  <c r="O8" i="4"/>
  <c r="O8" i="5" s="1"/>
  <c r="E10" i="5"/>
  <c r="H41" i="5"/>
  <c r="H41" i="6" s="1"/>
  <c r="E22" i="4"/>
  <c r="E52" i="4"/>
  <c r="E36" i="4"/>
  <c r="H40" i="4"/>
  <c r="E26" i="5"/>
  <c r="H35" i="4"/>
  <c r="E21" i="4"/>
  <c r="H33" i="4"/>
  <c r="E9" i="4"/>
  <c r="E9" i="5" s="1"/>
  <c r="H21" i="4"/>
  <c r="H32" i="4"/>
  <c r="H32" i="5" s="1"/>
  <c r="H6" i="5"/>
  <c r="H51" i="4"/>
  <c r="H26" i="4"/>
  <c r="E13" i="5"/>
  <c r="E47" i="4"/>
  <c r="E18" i="5"/>
  <c r="E43" i="4"/>
  <c r="E43" i="5" s="1"/>
  <c r="H43" i="4"/>
  <c r="E41" i="4"/>
  <c r="E50" i="3"/>
  <c r="E11" i="4"/>
  <c r="E49" i="4"/>
  <c r="H30" i="5"/>
  <c r="E42" i="3"/>
  <c r="E48" i="4"/>
  <c r="O15" i="4"/>
  <c r="H35" i="5"/>
  <c r="H52" i="4"/>
  <c r="H11" i="4"/>
  <c r="H18" i="4"/>
  <c r="H49" i="4"/>
  <c r="H49" i="5" s="1"/>
  <c r="O9" i="4" l="1"/>
  <c r="J8" i="4" s="1"/>
  <c r="O10" i="6"/>
  <c r="O9" i="5"/>
  <c r="J13" i="5" s="1"/>
  <c r="O16" i="3"/>
  <c r="J24" i="3" s="1"/>
  <c r="J20" i="2"/>
  <c r="J26" i="2"/>
  <c r="N23" i="1"/>
  <c r="N26" i="1"/>
  <c r="N29" i="4"/>
  <c r="N28" i="4"/>
  <c r="H50" i="2"/>
  <c r="H42" i="2"/>
  <c r="N29" i="3"/>
  <c r="N26" i="4"/>
  <c r="N23" i="4"/>
  <c r="N30" i="4" s="1"/>
  <c r="J10" i="2"/>
  <c r="J11" i="2"/>
  <c r="J6" i="2"/>
  <c r="J14" i="2"/>
  <c r="J7" i="2"/>
  <c r="J9" i="2"/>
  <c r="J13" i="2"/>
  <c r="J8" i="2"/>
  <c r="J12" i="2"/>
  <c r="N23" i="7"/>
  <c r="N30" i="7" s="1"/>
  <c r="N26" i="7"/>
  <c r="N27" i="8"/>
  <c r="O22" i="1"/>
  <c r="N23" i="9"/>
  <c r="N30" i="9" s="1"/>
  <c r="N27" i="7"/>
  <c r="O21" i="1"/>
  <c r="H34" i="2"/>
  <c r="J25" i="1"/>
  <c r="J19" i="1"/>
  <c r="J21" i="1"/>
  <c r="J22" i="1"/>
  <c r="J23" i="1"/>
  <c r="J20" i="1"/>
  <c r="P27" i="1"/>
  <c r="J24" i="1"/>
  <c r="J18" i="1"/>
  <c r="J26" i="1"/>
  <c r="N23" i="8"/>
  <c r="N30" i="8" s="1"/>
  <c r="H31" i="2"/>
  <c r="H7" i="2"/>
  <c r="O19" i="1"/>
  <c r="J12" i="3"/>
  <c r="J8" i="3"/>
  <c r="J13" i="3"/>
  <c r="J9" i="3"/>
  <c r="J10" i="3"/>
  <c r="J6" i="3"/>
  <c r="J7" i="3"/>
  <c r="J14" i="3"/>
  <c r="J11" i="3"/>
  <c r="N28" i="3"/>
  <c r="N23" i="10"/>
  <c r="N30" i="10" s="1"/>
  <c r="N29" i="7"/>
  <c r="N27" i="6"/>
  <c r="N23" i="6"/>
  <c r="N30" i="6" s="1"/>
  <c r="H45" i="2"/>
  <c r="O20" i="1"/>
  <c r="J50" i="1"/>
  <c r="J42" i="1"/>
  <c r="J31" i="1"/>
  <c r="J45" i="1"/>
  <c r="J34" i="1"/>
  <c r="J48" i="1"/>
  <c r="J40" i="1"/>
  <c r="J51" i="1"/>
  <c r="J43" i="1"/>
  <c r="J32" i="1"/>
  <c r="P29" i="1"/>
  <c r="J44" i="1"/>
  <c r="J35" i="1"/>
  <c r="J46" i="1"/>
  <c r="P28" i="1"/>
  <c r="J49" i="1"/>
  <c r="J30" i="1"/>
  <c r="J41" i="1"/>
  <c r="J36" i="1"/>
  <c r="J52" i="1"/>
  <c r="J33" i="1"/>
  <c r="J47" i="1"/>
  <c r="J9" i="5"/>
  <c r="J10" i="5"/>
  <c r="N27" i="10"/>
  <c r="N27" i="9"/>
  <c r="N27" i="3"/>
  <c r="N23" i="2"/>
  <c r="N30" i="2" s="1"/>
  <c r="O16" i="2"/>
  <c r="J22" i="2" s="1"/>
  <c r="N23" i="5"/>
  <c r="N30" i="5" s="1"/>
  <c r="N26" i="5"/>
  <c r="H11" i="5"/>
  <c r="E53" i="5"/>
  <c r="E46" i="5"/>
  <c r="H49" i="6"/>
  <c r="H53" i="5"/>
  <c r="O15" i="5"/>
  <c r="E25" i="4"/>
  <c r="E48" i="5"/>
  <c r="H34" i="3"/>
  <c r="H41" i="7"/>
  <c r="E26" i="6"/>
  <c r="E41" i="5"/>
  <c r="E20" i="5"/>
  <c r="H13" i="4"/>
  <c r="E10" i="6"/>
  <c r="H10" i="5"/>
  <c r="H10" i="6" s="1"/>
  <c r="H11" i="6"/>
  <c r="E42" i="4"/>
  <c r="E34" i="4"/>
  <c r="O20" i="3"/>
  <c r="H20" i="6"/>
  <c r="H33" i="5"/>
  <c r="E6" i="4"/>
  <c r="E11" i="5"/>
  <c r="E47" i="5"/>
  <c r="H12" i="4"/>
  <c r="H32" i="6"/>
  <c r="H46" i="6"/>
  <c r="E35" i="5"/>
  <c r="E11" i="6"/>
  <c r="H50" i="3"/>
  <c r="H27" i="5"/>
  <c r="H27" i="6" s="1"/>
  <c r="H14" i="6"/>
  <c r="E9" i="6"/>
  <c r="O20" i="4"/>
  <c r="H30" i="6"/>
  <c r="H51" i="5"/>
  <c r="E51" i="6"/>
  <c r="H43" i="5"/>
  <c r="H22" i="4"/>
  <c r="E45" i="4"/>
  <c r="H6" i="6"/>
  <c r="E27" i="6"/>
  <c r="O5" i="7"/>
  <c r="O8" i="6"/>
  <c r="O8" i="7" s="1"/>
  <c r="E43" i="6"/>
  <c r="E52" i="5"/>
  <c r="E18" i="6"/>
  <c r="H47" i="6"/>
  <c r="H24" i="5"/>
  <c r="H35" i="6"/>
  <c r="E32" i="6"/>
  <c r="E49" i="5"/>
  <c r="E44" i="6"/>
  <c r="H25" i="5"/>
  <c r="E19" i="4"/>
  <c r="H26" i="5"/>
  <c r="E36" i="5"/>
  <c r="H40" i="5"/>
  <c r="H40" i="6" s="1"/>
  <c r="H36" i="6"/>
  <c r="H23" i="5"/>
  <c r="E13" i="6"/>
  <c r="H45" i="3"/>
  <c r="H52" i="5"/>
  <c r="H31" i="3"/>
  <c r="E33" i="5"/>
  <c r="H44" i="5"/>
  <c r="E7" i="4"/>
  <c r="H7" i="3"/>
  <c r="H18" i="5"/>
  <c r="H8" i="4"/>
  <c r="E23" i="5"/>
  <c r="E50" i="4"/>
  <c r="H21" i="5"/>
  <c r="E8" i="5"/>
  <c r="E24" i="6"/>
  <c r="E14" i="5"/>
  <c r="E43" i="7"/>
  <c r="H41" i="8"/>
  <c r="E21" i="5"/>
  <c r="E22" i="5"/>
  <c r="H48" i="5"/>
  <c r="E31" i="4"/>
  <c r="O14" i="4"/>
  <c r="E12" i="4"/>
  <c r="H19" i="5"/>
  <c r="H19" i="6" s="1"/>
  <c r="E30" i="5"/>
  <c r="H9" i="5"/>
  <c r="E40" i="5"/>
  <c r="H42" i="3"/>
  <c r="O10" i="7" l="1"/>
  <c r="J11" i="5"/>
  <c r="O16" i="4"/>
  <c r="P27" i="4" s="1"/>
  <c r="O9" i="6"/>
  <c r="J10" i="6" s="1"/>
  <c r="J11" i="4"/>
  <c r="J14" i="4"/>
  <c r="J10" i="4"/>
  <c r="J9" i="4"/>
  <c r="J13" i="4"/>
  <c r="J12" i="4"/>
  <c r="J6" i="4"/>
  <c r="J8" i="5"/>
  <c r="O9" i="7"/>
  <c r="J14" i="5"/>
  <c r="J7" i="4"/>
  <c r="J27" i="3"/>
  <c r="P27" i="3"/>
  <c r="J45" i="4"/>
  <c r="J51" i="4"/>
  <c r="J46" i="4"/>
  <c r="J48" i="4"/>
  <c r="J36" i="4"/>
  <c r="J41" i="4"/>
  <c r="J49" i="4"/>
  <c r="J26" i="3"/>
  <c r="J20" i="4"/>
  <c r="J51" i="2"/>
  <c r="J43" i="2"/>
  <c r="J32" i="2"/>
  <c r="J46" i="2"/>
  <c r="J35" i="2"/>
  <c r="J49" i="2"/>
  <c r="J41" i="2"/>
  <c r="J52" i="2"/>
  <c r="J44" i="2"/>
  <c r="J33" i="2"/>
  <c r="P28" i="2"/>
  <c r="J48" i="2"/>
  <c r="J45" i="2"/>
  <c r="J40" i="2"/>
  <c r="J34" i="2"/>
  <c r="J50" i="2"/>
  <c r="J42" i="2"/>
  <c r="J31" i="2"/>
  <c r="J47" i="2"/>
  <c r="J36" i="2"/>
  <c r="J30" i="2"/>
  <c r="J19" i="3"/>
  <c r="J21" i="3"/>
  <c r="J25" i="4"/>
  <c r="J19" i="2"/>
  <c r="O21" i="2"/>
  <c r="J25" i="3"/>
  <c r="J21" i="2"/>
  <c r="J25" i="2"/>
  <c r="J22" i="3"/>
  <c r="O23" i="1"/>
  <c r="P26" i="1"/>
  <c r="J18" i="3"/>
  <c r="J20" i="3"/>
  <c r="J23" i="2"/>
  <c r="J18" i="2"/>
  <c r="O19" i="2"/>
  <c r="O22" i="2"/>
  <c r="J23" i="4"/>
  <c r="J27" i="2"/>
  <c r="J24" i="2"/>
  <c r="J47" i="3"/>
  <c r="J36" i="3"/>
  <c r="J30" i="3"/>
  <c r="J50" i="3"/>
  <c r="J42" i="3"/>
  <c r="J31" i="3"/>
  <c r="J53" i="3"/>
  <c r="J45" i="3"/>
  <c r="J34" i="3"/>
  <c r="J48" i="3"/>
  <c r="J40" i="3"/>
  <c r="J46" i="3"/>
  <c r="J35" i="3"/>
  <c r="J51" i="3"/>
  <c r="J43" i="3"/>
  <c r="J41" i="3"/>
  <c r="J32" i="3"/>
  <c r="J49" i="3"/>
  <c r="J52" i="3"/>
  <c r="J44" i="3"/>
  <c r="J33" i="3"/>
  <c r="J23" i="3"/>
  <c r="P27" i="2"/>
  <c r="E23" i="6"/>
  <c r="E46" i="6"/>
  <c r="H45" i="4"/>
  <c r="H18" i="6"/>
  <c r="E12" i="5"/>
  <c r="H19" i="7"/>
  <c r="E52" i="6"/>
  <c r="E47" i="6"/>
  <c r="O14" i="5"/>
  <c r="E27" i="7"/>
  <c r="O22" i="3"/>
  <c r="H12" i="5"/>
  <c r="E24" i="7"/>
  <c r="E36" i="6"/>
  <c r="E40" i="6"/>
  <c r="H31" i="4"/>
  <c r="H30" i="7"/>
  <c r="E13" i="7"/>
  <c r="H6" i="7"/>
  <c r="H47" i="7"/>
  <c r="E41" i="6"/>
  <c r="E44" i="7"/>
  <c r="E32" i="7"/>
  <c r="H40" i="7"/>
  <c r="E21" i="6"/>
  <c r="H36" i="7"/>
  <c r="H32" i="7"/>
  <c r="E18" i="7"/>
  <c r="E26" i="7"/>
  <c r="E33" i="6"/>
  <c r="H24" i="6"/>
  <c r="E20" i="6"/>
  <c r="H44" i="6"/>
  <c r="E25" i="5"/>
  <c r="H53" i="6"/>
  <c r="H50" i="4"/>
  <c r="H36" i="8"/>
  <c r="H35" i="7"/>
  <c r="E11" i="7"/>
  <c r="E34" i="5"/>
  <c r="H43" i="6"/>
  <c r="E6" i="5"/>
  <c r="H52" i="6"/>
  <c r="H52" i="7" s="1"/>
  <c r="E43" i="8"/>
  <c r="H7" i="4"/>
  <c r="E51" i="7"/>
  <c r="O19" i="3"/>
  <c r="O5" i="8"/>
  <c r="E9" i="7"/>
  <c r="E49" i="6"/>
  <c r="E49" i="7" s="1"/>
  <c r="O15" i="6"/>
  <c r="H6" i="8"/>
  <c r="H48" i="6"/>
  <c r="H21" i="6"/>
  <c r="H10" i="7"/>
  <c r="H22" i="5"/>
  <c r="E50" i="5"/>
  <c r="E48" i="6"/>
  <c r="H11" i="7"/>
  <c r="E46" i="7"/>
  <c r="O8" i="8"/>
  <c r="E45" i="5"/>
  <c r="H27" i="7"/>
  <c r="O20" i="5"/>
  <c r="H25" i="6"/>
  <c r="E22" i="6"/>
  <c r="E19" i="5"/>
  <c r="H33" i="6"/>
  <c r="H42" i="4"/>
  <c r="H34" i="4"/>
  <c r="E7" i="5"/>
  <c r="H20" i="7"/>
  <c r="H41" i="9"/>
  <c r="H23" i="6"/>
  <c r="H13" i="5"/>
  <c r="H8" i="5"/>
  <c r="E35" i="6"/>
  <c r="E35" i="7" s="1"/>
  <c r="O21" i="3"/>
  <c r="O21" i="4" s="1"/>
  <c r="O21" i="5" s="1"/>
  <c r="H14" i="7"/>
  <c r="H14" i="8" s="1"/>
  <c r="H26" i="6"/>
  <c r="E8" i="6"/>
  <c r="H46" i="7"/>
  <c r="H49" i="7"/>
  <c r="E42" i="5"/>
  <c r="H9" i="6"/>
  <c r="H25" i="7"/>
  <c r="E14" i="6"/>
  <c r="E14" i="7" s="1"/>
  <c r="E10" i="7"/>
  <c r="E10" i="8" s="1"/>
  <c r="H51" i="6"/>
  <c r="E31" i="5"/>
  <c r="E23" i="7"/>
  <c r="E30" i="6"/>
  <c r="E53" i="6"/>
  <c r="H33" i="7"/>
  <c r="O5" i="9"/>
  <c r="O5" i="10"/>
  <c r="O10" i="9" l="1"/>
  <c r="O10" i="8"/>
  <c r="J52" i="4"/>
  <c r="J30" i="4"/>
  <c r="J47" i="4"/>
  <c r="O16" i="5"/>
  <c r="J49" i="5" s="1"/>
  <c r="O10" i="10"/>
  <c r="J26" i="4"/>
  <c r="J22" i="4"/>
  <c r="J24" i="4"/>
  <c r="J18" i="4"/>
  <c r="J35" i="4"/>
  <c r="J31" i="4"/>
  <c r="J53" i="4"/>
  <c r="J33" i="4"/>
  <c r="J42" i="4"/>
  <c r="J50" i="4"/>
  <c r="J9" i="6"/>
  <c r="J14" i="6"/>
  <c r="J27" i="4"/>
  <c r="J21" i="4"/>
  <c r="J32" i="4"/>
  <c r="J44" i="4"/>
  <c r="J11" i="6"/>
  <c r="J19" i="4"/>
  <c r="J40" i="4"/>
  <c r="J34" i="4"/>
  <c r="J43" i="4"/>
  <c r="J13" i="6"/>
  <c r="J30" i="5"/>
  <c r="J7" i="5"/>
  <c r="J12" i="5"/>
  <c r="J8" i="6"/>
  <c r="J6" i="5"/>
  <c r="O9" i="8"/>
  <c r="J13" i="7"/>
  <c r="J11" i="7"/>
  <c r="J14" i="7"/>
  <c r="J10" i="7"/>
  <c r="J9" i="7"/>
  <c r="P28" i="4"/>
  <c r="P28" i="3"/>
  <c r="P29" i="3"/>
  <c r="O23" i="3"/>
  <c r="P30" i="3" s="1"/>
  <c r="P26" i="3"/>
  <c r="P30" i="1"/>
  <c r="N30" i="1"/>
  <c r="O23" i="2"/>
  <c r="P30" i="2" s="1"/>
  <c r="P26" i="2"/>
  <c r="P29" i="2"/>
  <c r="E49" i="8"/>
  <c r="E43" i="9"/>
  <c r="E12" i="6"/>
  <c r="H30" i="8"/>
  <c r="H32" i="8"/>
  <c r="E25" i="6"/>
  <c r="E48" i="7"/>
  <c r="H10" i="8"/>
  <c r="H51" i="7"/>
  <c r="E19" i="6"/>
  <c r="H40" i="8"/>
  <c r="E7" i="6"/>
  <c r="H19" i="8"/>
  <c r="E33" i="7"/>
  <c r="H44" i="7"/>
  <c r="H24" i="7"/>
  <c r="E34" i="6"/>
  <c r="E10" i="9"/>
  <c r="H13" i="6"/>
  <c r="E42" i="6"/>
  <c r="H41" i="10"/>
  <c r="E47" i="7"/>
  <c r="E14" i="8"/>
  <c r="O8" i="9"/>
  <c r="E27" i="8"/>
  <c r="H18" i="7"/>
  <c r="H34" i="5"/>
  <c r="H44" i="8"/>
  <c r="E50" i="6"/>
  <c r="E6" i="6"/>
  <c r="H7" i="5"/>
  <c r="E11" i="8"/>
  <c r="E13" i="8"/>
  <c r="E32" i="8"/>
  <c r="H23" i="7"/>
  <c r="H8" i="6"/>
  <c r="H21" i="7"/>
  <c r="H9" i="7"/>
  <c r="E46" i="8"/>
  <c r="H12" i="6"/>
  <c r="E35" i="8"/>
  <c r="H35" i="8"/>
  <c r="E31" i="6"/>
  <c r="H53" i="7"/>
  <c r="E41" i="7"/>
  <c r="E30" i="7"/>
  <c r="E24" i="8"/>
  <c r="H48" i="7"/>
  <c r="E20" i="7"/>
  <c r="H49" i="8"/>
  <c r="O14" i="6"/>
  <c r="O14" i="7" s="1"/>
  <c r="H31" i="5"/>
  <c r="E36" i="7"/>
  <c r="H45" i="5"/>
  <c r="O19" i="4"/>
  <c r="O19" i="5" s="1"/>
  <c r="E23" i="8"/>
  <c r="H25" i="8"/>
  <c r="E9" i="8"/>
  <c r="H22" i="6"/>
  <c r="E44" i="8"/>
  <c r="O21" i="6"/>
  <c r="H6" i="9"/>
  <c r="E53" i="7"/>
  <c r="H42" i="5"/>
  <c r="H43" i="7"/>
  <c r="E8" i="7"/>
  <c r="H26" i="7"/>
  <c r="E52" i="7"/>
  <c r="O22" i="4"/>
  <c r="H52" i="8"/>
  <c r="H11" i="8"/>
  <c r="E22" i="7"/>
  <c r="H50" i="5"/>
  <c r="H33" i="8"/>
  <c r="H36" i="9"/>
  <c r="E51" i="8"/>
  <c r="H20" i="8"/>
  <c r="H10" i="9"/>
  <c r="E45" i="6"/>
  <c r="H47" i="8"/>
  <c r="H46" i="8"/>
  <c r="E26" i="8"/>
  <c r="E40" i="7"/>
  <c r="H14" i="9"/>
  <c r="O15" i="7"/>
  <c r="E41" i="8"/>
  <c r="O20" i="6"/>
  <c r="O20" i="7" s="1"/>
  <c r="O20" i="8" s="1"/>
  <c r="O20" i="9" s="1"/>
  <c r="E21" i="7"/>
  <c r="E21" i="8" s="1"/>
  <c r="H27" i="8"/>
  <c r="E18" i="8"/>
  <c r="O22" i="5"/>
  <c r="P29" i="4" l="1"/>
  <c r="P28" i="5"/>
  <c r="J19" i="5"/>
  <c r="J24" i="5"/>
  <c r="J40" i="5"/>
  <c r="J23" i="5"/>
  <c r="J43" i="5"/>
  <c r="P26" i="5"/>
  <c r="O23" i="5"/>
  <c r="P30" i="5" s="1"/>
  <c r="P26" i="4"/>
  <c r="O23" i="4"/>
  <c r="P30" i="4" s="1"/>
  <c r="O16" i="6"/>
  <c r="J20" i="6" s="1"/>
  <c r="J36" i="5"/>
  <c r="J53" i="5"/>
  <c r="J31" i="5"/>
  <c r="J18" i="5"/>
  <c r="J21" i="5"/>
  <c r="J27" i="5"/>
  <c r="J20" i="5"/>
  <c r="J52" i="5"/>
  <c r="J33" i="5"/>
  <c r="J48" i="5"/>
  <c r="J46" i="5"/>
  <c r="J35" i="5"/>
  <c r="J41" i="5"/>
  <c r="J25" i="5"/>
  <c r="J47" i="5"/>
  <c r="P27" i="5"/>
  <c r="P29" i="5"/>
  <c r="J50" i="5"/>
  <c r="J22" i="5"/>
  <c r="J32" i="5"/>
  <c r="J42" i="5"/>
  <c r="J45" i="5"/>
  <c r="J44" i="5"/>
  <c r="J34" i="5"/>
  <c r="J51" i="5"/>
  <c r="J26" i="5"/>
  <c r="J21" i="6"/>
  <c r="J22" i="6"/>
  <c r="P28" i="6"/>
  <c r="J12" i="6"/>
  <c r="J8" i="7"/>
  <c r="J25" i="6"/>
  <c r="O9" i="9"/>
  <c r="O16" i="7"/>
  <c r="J22" i="7" s="1"/>
  <c r="J7" i="6"/>
  <c r="J6" i="6"/>
  <c r="J9" i="8"/>
  <c r="J10" i="8"/>
  <c r="J13" i="8"/>
  <c r="J14" i="8"/>
  <c r="J11" i="8"/>
  <c r="J36" i="6"/>
  <c r="J53" i="6"/>
  <c r="J48" i="6"/>
  <c r="J32" i="6"/>
  <c r="J46" i="6"/>
  <c r="J42" i="6"/>
  <c r="P27" i="6"/>
  <c r="J47" i="6"/>
  <c r="J40" i="6"/>
  <c r="J52" i="6"/>
  <c r="J51" i="6"/>
  <c r="H44" i="9"/>
  <c r="H42" i="6"/>
  <c r="E20" i="8"/>
  <c r="H22" i="7"/>
  <c r="H21" i="8"/>
  <c r="H20" i="9"/>
  <c r="H19" i="9"/>
  <c r="E52" i="8"/>
  <c r="E35" i="9"/>
  <c r="H46" i="9"/>
  <c r="E40" i="8"/>
  <c r="E31" i="7"/>
  <c r="H11" i="9"/>
  <c r="O15" i="8"/>
  <c r="E8" i="8"/>
  <c r="H24" i="8"/>
  <c r="E51" i="9"/>
  <c r="E24" i="9"/>
  <c r="E47" i="8"/>
  <c r="H27" i="9"/>
  <c r="E11" i="9"/>
  <c r="E43" i="10"/>
  <c r="E10" i="10"/>
  <c r="E26" i="9"/>
  <c r="H47" i="9"/>
  <c r="E12" i="7"/>
  <c r="H18" i="8"/>
  <c r="E53" i="8"/>
  <c r="H43" i="8"/>
  <c r="E36" i="8"/>
  <c r="O20" i="10"/>
  <c r="E21" i="9"/>
  <c r="O22" i="6"/>
  <c r="O22" i="7" s="1"/>
  <c r="H30" i="9"/>
  <c r="H45" i="6"/>
  <c r="E45" i="7"/>
  <c r="H6" i="10"/>
  <c r="E41" i="9"/>
  <c r="H32" i="9"/>
  <c r="E48" i="8"/>
  <c r="O8" i="10"/>
  <c r="H26" i="8"/>
  <c r="E25" i="7"/>
  <c r="E49" i="9"/>
  <c r="E33" i="8"/>
  <c r="O14" i="8"/>
  <c r="E14" i="9"/>
  <c r="E13" i="9"/>
  <c r="E44" i="9"/>
  <c r="H8" i="7"/>
  <c r="H14" i="10"/>
  <c r="H13" i="7"/>
  <c r="H48" i="8"/>
  <c r="E18" i="9"/>
  <c r="H53" i="8"/>
  <c r="H12" i="7"/>
  <c r="E6" i="7"/>
  <c r="E23" i="9"/>
  <c r="E34" i="7"/>
  <c r="H35" i="9"/>
  <c r="H10" i="10"/>
  <c r="H49" i="9"/>
  <c r="H34" i="6"/>
  <c r="H33" i="9"/>
  <c r="H7" i="6"/>
  <c r="H50" i="6"/>
  <c r="O21" i="7"/>
  <c r="E42" i="7"/>
  <c r="E46" i="9"/>
  <c r="E50" i="7"/>
  <c r="E9" i="9"/>
  <c r="E27" i="9"/>
  <c r="E7" i="7"/>
  <c r="H40" i="9"/>
  <c r="H31" i="6"/>
  <c r="E32" i="9"/>
  <c r="H9" i="8"/>
  <c r="E19" i="7"/>
  <c r="E30" i="8"/>
  <c r="H25" i="9"/>
  <c r="H23" i="8"/>
  <c r="O19" i="6"/>
  <c r="H36" i="10"/>
  <c r="H48" i="9"/>
  <c r="H52" i="9"/>
  <c r="H51" i="8"/>
  <c r="E22" i="8"/>
  <c r="J41" i="6" l="1"/>
  <c r="J18" i="6"/>
  <c r="J27" i="6"/>
  <c r="J23" i="6"/>
  <c r="J30" i="6"/>
  <c r="J34" i="6"/>
  <c r="J31" i="6"/>
  <c r="J45" i="6"/>
  <c r="J35" i="6"/>
  <c r="J43" i="6"/>
  <c r="J44" i="6"/>
  <c r="J49" i="6"/>
  <c r="J50" i="6"/>
  <c r="P29" i="6"/>
  <c r="P26" i="6"/>
  <c r="O23" i="6"/>
  <c r="P30" i="6" s="1"/>
  <c r="J26" i="6"/>
  <c r="J24" i="6"/>
  <c r="J33" i="6"/>
  <c r="J19" i="6"/>
  <c r="O9" i="10"/>
  <c r="J6" i="7"/>
  <c r="J25" i="7"/>
  <c r="J12" i="7"/>
  <c r="O16" i="8"/>
  <c r="J22" i="8" s="1"/>
  <c r="J19" i="7"/>
  <c r="J7" i="7"/>
  <c r="J8" i="8"/>
  <c r="J13" i="9"/>
  <c r="J11" i="9"/>
  <c r="J14" i="9"/>
  <c r="J10" i="9"/>
  <c r="J9" i="9"/>
  <c r="J31" i="7"/>
  <c r="J45" i="7"/>
  <c r="J52" i="7"/>
  <c r="J30" i="7"/>
  <c r="J34" i="7"/>
  <c r="J44" i="7"/>
  <c r="J47" i="7"/>
  <c r="P27" i="7"/>
  <c r="J48" i="7"/>
  <c r="J33" i="7"/>
  <c r="J51" i="7"/>
  <c r="J40" i="7"/>
  <c r="J50" i="7"/>
  <c r="J32" i="7"/>
  <c r="J46" i="7"/>
  <c r="J43" i="7"/>
  <c r="J35" i="7"/>
  <c r="J49" i="7"/>
  <c r="J36" i="7"/>
  <c r="J53" i="7"/>
  <c r="J41" i="7"/>
  <c r="J42" i="7"/>
  <c r="J18" i="7"/>
  <c r="J26" i="7"/>
  <c r="J24" i="7"/>
  <c r="P28" i="7"/>
  <c r="P29" i="7"/>
  <c r="J27" i="7"/>
  <c r="J23" i="7"/>
  <c r="J20" i="7"/>
  <c r="J21" i="7"/>
  <c r="H20" i="10"/>
  <c r="E30" i="9"/>
  <c r="O15" i="9"/>
  <c r="E26" i="10"/>
  <c r="H24" i="9"/>
  <c r="E14" i="10"/>
  <c r="E31" i="8"/>
  <c r="E12" i="8"/>
  <c r="E9" i="10"/>
  <c r="E36" i="9"/>
  <c r="H13" i="8"/>
  <c r="H18" i="9"/>
  <c r="H22" i="8"/>
  <c r="E6" i="8"/>
  <c r="H12" i="8"/>
  <c r="E49" i="10"/>
  <c r="E32" i="10"/>
  <c r="O19" i="7"/>
  <c r="E13" i="10"/>
  <c r="E41" i="10"/>
  <c r="E34" i="8"/>
  <c r="H19" i="10"/>
  <c r="H53" i="9"/>
  <c r="H46" i="10"/>
  <c r="H51" i="9"/>
  <c r="H49" i="10"/>
  <c r="E46" i="10"/>
  <c r="H45" i="7"/>
  <c r="E23" i="10"/>
  <c r="H47" i="10"/>
  <c r="H50" i="7"/>
  <c r="H7" i="7"/>
  <c r="E45" i="8"/>
  <c r="E48" i="9"/>
  <c r="H34" i="7"/>
  <c r="H33" i="10"/>
  <c r="E19" i="8"/>
  <c r="E24" i="10"/>
  <c r="H27" i="10"/>
  <c r="E18" i="10"/>
  <c r="O22" i="8"/>
  <c r="E52" i="9"/>
  <c r="H48" i="10"/>
  <c r="E50" i="8"/>
  <c r="E47" i="9"/>
  <c r="E25" i="8"/>
  <c r="E8" i="9"/>
  <c r="E53" i="9"/>
  <c r="H11" i="10"/>
  <c r="E40" i="9"/>
  <c r="O14" i="9"/>
  <c r="H35" i="10"/>
  <c r="H21" i="9"/>
  <c r="H30" i="10"/>
  <c r="H52" i="10"/>
  <c r="E11" i="10"/>
  <c r="E33" i="9"/>
  <c r="H42" i="7"/>
  <c r="H25" i="10"/>
  <c r="E27" i="10"/>
  <c r="E7" i="8"/>
  <c r="H23" i="9"/>
  <c r="O21" i="8"/>
  <c r="E22" i="9"/>
  <c r="E20" i="9"/>
  <c r="E21" i="10"/>
  <c r="H44" i="10"/>
  <c r="E44" i="10"/>
  <c r="H40" i="10"/>
  <c r="H32" i="10"/>
  <c r="H8" i="8"/>
  <c r="H26" i="9"/>
  <c r="E35" i="10"/>
  <c r="H9" i="9"/>
  <c r="H43" i="9"/>
  <c r="E51" i="10"/>
  <c r="E42" i="8"/>
  <c r="H31" i="7"/>
  <c r="O23" i="7" l="1"/>
  <c r="P30" i="7" s="1"/>
  <c r="P26" i="7"/>
  <c r="J20" i="8"/>
  <c r="J25" i="8"/>
  <c r="O16" i="9"/>
  <c r="J20" i="9" s="1"/>
  <c r="J7" i="8"/>
  <c r="J6" i="8"/>
  <c r="J8" i="9"/>
  <c r="J12" i="8"/>
  <c r="J19" i="8"/>
  <c r="J40" i="8"/>
  <c r="J31" i="8"/>
  <c r="J52" i="8"/>
  <c r="J44" i="8"/>
  <c r="J32" i="8"/>
  <c r="J47" i="8"/>
  <c r="J34" i="8"/>
  <c r="P27" i="8"/>
  <c r="J46" i="8"/>
  <c r="J36" i="8"/>
  <c r="J35" i="8"/>
  <c r="J30" i="8"/>
  <c r="J49" i="8"/>
  <c r="J50" i="8"/>
  <c r="J48" i="8"/>
  <c r="J41" i="8"/>
  <c r="J42" i="8"/>
  <c r="J53" i="8"/>
  <c r="J51" i="8"/>
  <c r="J43" i="8"/>
  <c r="J45" i="8"/>
  <c r="J33" i="8"/>
  <c r="P29" i="8"/>
  <c r="P28" i="8"/>
  <c r="J24" i="8"/>
  <c r="J21" i="8"/>
  <c r="J18" i="8"/>
  <c r="J27" i="8"/>
  <c r="J23" i="8"/>
  <c r="J26" i="8"/>
  <c r="J13" i="10"/>
  <c r="J10" i="10"/>
  <c r="J11" i="10"/>
  <c r="J9" i="10"/>
  <c r="J14" i="10"/>
  <c r="E6" i="9"/>
  <c r="E12" i="9"/>
  <c r="H7" i="8"/>
  <c r="H51" i="10"/>
  <c r="H53" i="10"/>
  <c r="H13" i="9"/>
  <c r="H24" i="10"/>
  <c r="E31" i="9"/>
  <c r="H34" i="8"/>
  <c r="E48" i="10"/>
  <c r="E33" i="10"/>
  <c r="O22" i="9"/>
  <c r="O14" i="10"/>
  <c r="E47" i="10"/>
  <c r="H42" i="8"/>
  <c r="H8" i="9"/>
  <c r="H23" i="10"/>
  <c r="H12" i="9"/>
  <c r="O15" i="10"/>
  <c r="E52" i="10"/>
  <c r="H31" i="8"/>
  <c r="E34" i="9"/>
  <c r="H43" i="10"/>
  <c r="E22" i="10"/>
  <c r="E8" i="10"/>
  <c r="H9" i="10"/>
  <c r="H26" i="10"/>
  <c r="O21" i="9"/>
  <c r="E45" i="9"/>
  <c r="E40" i="10"/>
  <c r="E19" i="9"/>
  <c r="E50" i="9"/>
  <c r="O19" i="8"/>
  <c r="E36" i="10"/>
  <c r="E42" i="9"/>
  <c r="H45" i="8"/>
  <c r="H21" i="10"/>
  <c r="H18" i="10"/>
  <c r="E7" i="9"/>
  <c r="E53" i="10"/>
  <c r="H22" i="9"/>
  <c r="H50" i="8"/>
  <c r="E20" i="10"/>
  <c r="E30" i="10"/>
  <c r="E25" i="9"/>
  <c r="O23" i="8" l="1"/>
  <c r="P30" i="8" s="1"/>
  <c r="P26" i="8"/>
  <c r="J12" i="9"/>
  <c r="J6" i="9"/>
  <c r="O16" i="10"/>
  <c r="J22" i="10" s="1"/>
  <c r="J7" i="9"/>
  <c r="J19" i="9"/>
  <c r="J25" i="9"/>
  <c r="J8" i="10"/>
  <c r="J52" i="9"/>
  <c r="J31" i="9"/>
  <c r="P27" i="9"/>
  <c r="J32" i="9"/>
  <c r="J47" i="9"/>
  <c r="J34" i="9"/>
  <c r="J46" i="9"/>
  <c r="J36" i="9"/>
  <c r="J48" i="9"/>
  <c r="J35" i="9"/>
  <c r="J30" i="9"/>
  <c r="J40" i="9"/>
  <c r="J49" i="9"/>
  <c r="J50" i="9"/>
  <c r="J41" i="9"/>
  <c r="J42" i="9"/>
  <c r="J33" i="9"/>
  <c r="J53" i="9"/>
  <c r="J51" i="9"/>
  <c r="J45" i="9"/>
  <c r="J43" i="9"/>
  <c r="J44" i="9"/>
  <c r="P28" i="9"/>
  <c r="P29" i="9"/>
  <c r="J18" i="9"/>
  <c r="J24" i="9"/>
  <c r="J27" i="9"/>
  <c r="J23" i="9"/>
  <c r="J26" i="9"/>
  <c r="J21" i="9"/>
  <c r="J22" i="9"/>
  <c r="E34" i="10"/>
  <c r="H31" i="9"/>
  <c r="H42" i="9"/>
  <c r="H13" i="10"/>
  <c r="E7" i="10"/>
  <c r="H34" i="9"/>
  <c r="E31" i="10"/>
  <c r="H7" i="9"/>
  <c r="E6" i="10"/>
  <c r="H50" i="9"/>
  <c r="H45" i="9"/>
  <c r="E45" i="10"/>
  <c r="H22" i="10"/>
  <c r="O21" i="10"/>
  <c r="H12" i="10"/>
  <c r="H8" i="10"/>
  <c r="E50" i="10"/>
  <c r="E42" i="10"/>
  <c r="E19" i="10"/>
  <c r="O22" i="10"/>
  <c r="E25" i="10"/>
  <c r="E12" i="10"/>
  <c r="O19" i="9"/>
  <c r="O23" i="9" l="1"/>
  <c r="P30" i="9" s="1"/>
  <c r="P26" i="9"/>
  <c r="J20" i="10"/>
  <c r="J19" i="10"/>
  <c r="J7" i="10"/>
  <c r="J6" i="10"/>
  <c r="J25" i="10"/>
  <c r="J12" i="10"/>
  <c r="J46" i="10"/>
  <c r="J30" i="10"/>
  <c r="J52" i="10"/>
  <c r="J31" i="10"/>
  <c r="J32" i="10"/>
  <c r="J33" i="10"/>
  <c r="J45" i="10"/>
  <c r="J54" i="10"/>
  <c r="J47" i="10"/>
  <c r="J34" i="10"/>
  <c r="J36" i="10"/>
  <c r="J48" i="10"/>
  <c r="J35" i="10"/>
  <c r="J40" i="10"/>
  <c r="J53" i="10"/>
  <c r="J51" i="10"/>
  <c r="J44" i="10"/>
  <c r="J50" i="10"/>
  <c r="J43" i="10"/>
  <c r="J41" i="10"/>
  <c r="J42" i="10"/>
  <c r="J49" i="10"/>
  <c r="P27" i="10"/>
  <c r="P28" i="10"/>
  <c r="P29" i="10"/>
  <c r="J26" i="10"/>
  <c r="J27" i="10"/>
  <c r="J18" i="10"/>
  <c r="J21" i="10"/>
  <c r="J23" i="10"/>
  <c r="J24" i="10"/>
  <c r="H42" i="10"/>
  <c r="O19" i="10"/>
  <c r="H7" i="10"/>
  <c r="H34" i="10"/>
  <c r="H45" i="10"/>
  <c r="H50" i="10"/>
  <c r="H31" i="10"/>
  <c r="O23" i="10" l="1"/>
  <c r="P30" i="10" s="1"/>
  <c r="P26" i="10"/>
</calcChain>
</file>

<file path=xl/sharedStrings.xml><?xml version="1.0" encoding="utf-8"?>
<sst xmlns="http://schemas.openxmlformats.org/spreadsheetml/2006/main" count="1754" uniqueCount="107">
  <si>
    <t>SEMANA</t>
  </si>
  <si>
    <t>CONSUMO DE PRODUTOS QUÍMICOS SAFRA 2026/2027</t>
  </si>
  <si>
    <t>SEMANA  12/04/2026  A  19/04/2026</t>
  </si>
  <si>
    <t>Destilaria</t>
  </si>
  <si>
    <t>b</t>
  </si>
  <si>
    <t>Consumo</t>
  </si>
  <si>
    <t>Custos( R$ )</t>
  </si>
  <si>
    <t>Gr / m³</t>
  </si>
  <si>
    <t>Descrição</t>
  </si>
  <si>
    <t>Semana</t>
  </si>
  <si>
    <t>Safra 2026</t>
  </si>
  <si>
    <t>Safra 2025</t>
  </si>
  <si>
    <t>SEMANAL</t>
  </si>
  <si>
    <t>SAFRA</t>
  </si>
  <si>
    <t>VALOR</t>
  </si>
  <si>
    <t>META</t>
  </si>
  <si>
    <t xml:space="preserve"> AÇÚCAR VHP (scs.)</t>
  </si>
  <si>
    <t xml:space="preserve">ÁC.SULFURICO  </t>
  </si>
  <si>
    <t>kg</t>
  </si>
  <si>
    <t xml:space="preserve"> AÇÚCAR CRISTAL (scs.)</t>
  </si>
  <si>
    <t xml:space="preserve">ANTIBIÓTICO      </t>
  </si>
  <si>
    <t xml:space="preserve"> ETANOL ANIDRO ( L )</t>
  </si>
  <si>
    <t>ANTIESPUMANTE</t>
  </si>
  <si>
    <t xml:space="preserve"> ETANOL HIDRATADO ( L )</t>
  </si>
  <si>
    <t xml:space="preserve">DISPERSANTE    </t>
  </si>
  <si>
    <t>ETANOL TOTAL</t>
  </si>
  <si>
    <t xml:space="preserve">NEUT.ALCOOL   </t>
  </si>
  <si>
    <t>AÇUCAR TOTAL</t>
  </si>
  <si>
    <t xml:space="preserve">NUTRIENTES        </t>
  </si>
  <si>
    <t>SODA CÁUSTICA</t>
  </si>
  <si>
    <t>MOAGEM ( Toneladas )</t>
  </si>
  <si>
    <t>FERMAPLUS</t>
  </si>
  <si>
    <t>CANA MOÍDA</t>
  </si>
  <si>
    <t>SAFRA 2026</t>
  </si>
  <si>
    <t>SAFRA 2025</t>
  </si>
  <si>
    <t>MONENSINA</t>
  </si>
  <si>
    <t>Kg</t>
  </si>
  <si>
    <t>PARA ETANOL</t>
  </si>
  <si>
    <t>PARA AÇÚCAR</t>
  </si>
  <si>
    <t>Fábrica</t>
  </si>
  <si>
    <t>Gr / tc</t>
  </si>
  <si>
    <t xml:space="preserve"> MOÍDA TOTAL</t>
  </si>
  <si>
    <t xml:space="preserve">FLOCULANTE    </t>
  </si>
  <si>
    <t>SETOR</t>
  </si>
  <si>
    <t xml:space="preserve">SAFRA </t>
  </si>
  <si>
    <t xml:space="preserve">FLOCUL. FILTRO </t>
  </si>
  <si>
    <t>DESTILARIA</t>
  </si>
  <si>
    <t xml:space="preserve">ENXOFRE          </t>
  </si>
  <si>
    <t>FÁBRICA</t>
  </si>
  <si>
    <t>AC.FOSFÓRICO</t>
  </si>
  <si>
    <t>MOENDA</t>
  </si>
  <si>
    <t>CAL DOLOMÍTICA</t>
  </si>
  <si>
    <t>ETA/CALD.</t>
  </si>
  <si>
    <t>CUSTO TOTAL (R$ )</t>
  </si>
  <si>
    <t xml:space="preserve">NEUT.VAPOR    </t>
  </si>
  <si>
    <t xml:space="preserve">ANTI-INCRUST. </t>
  </si>
  <si>
    <t>Setor</t>
  </si>
  <si>
    <t xml:space="preserve">Safra </t>
  </si>
  <si>
    <t>CLARIFICANTE FL 40</t>
  </si>
  <si>
    <t>R$/m³</t>
  </si>
  <si>
    <t>R$/tc</t>
  </si>
  <si>
    <t>R$/scs</t>
  </si>
  <si>
    <t>Moenda</t>
  </si>
  <si>
    <t>CAL VIRGEM</t>
  </si>
  <si>
    <t>TOTAL</t>
  </si>
  <si>
    <t xml:space="preserve">BAC.QUATERNARIO    </t>
  </si>
  <si>
    <t>HELACLOR</t>
  </si>
  <si>
    <t>SODA PENEIRA ROTATIVA</t>
  </si>
  <si>
    <t>SODA PENEIRA VIBRATÓRIA</t>
  </si>
  <si>
    <t>ESTEIRA METALICA</t>
  </si>
  <si>
    <t>Caldeira / Eta</t>
  </si>
  <si>
    <t>Custos ( R$ )</t>
  </si>
  <si>
    <t>Gr/tc</t>
  </si>
  <si>
    <t>BRW 150 HELAMIN</t>
  </si>
  <si>
    <t>POLÍMERO</t>
  </si>
  <si>
    <t xml:space="preserve">POLICLORETO </t>
  </si>
  <si>
    <t>HELACLOR ETA</t>
  </si>
  <si>
    <t xml:space="preserve">SAL </t>
  </si>
  <si>
    <t xml:space="preserve">HELACLOR TORRE </t>
  </si>
  <si>
    <t>FILTRO B/O/D  FERM.</t>
  </si>
  <si>
    <t>HELAMIN 9100</t>
  </si>
  <si>
    <t>FILTRO B/O/D CO2</t>
  </si>
  <si>
    <t>HELAQUAT CO2</t>
  </si>
  <si>
    <t>AMONIA ANIDRA</t>
  </si>
  <si>
    <t>CONSUMO DE PRODUTOS QUÍMICOS SAFRA 2025/2026</t>
  </si>
  <si>
    <t>SEMANA  20/04/2026  A   26/04/2026</t>
  </si>
  <si>
    <t>LUBRIFICANTE MASSA</t>
  </si>
  <si>
    <t>SEMANA 2</t>
  </si>
  <si>
    <t>SEMANA  27/04/2026   A   03/05/2026</t>
  </si>
  <si>
    <t>Safra 2024</t>
  </si>
  <si>
    <t>SAFRA 2024</t>
  </si>
  <si>
    <t>AT 8807</t>
  </si>
  <si>
    <t>SEMANA 3</t>
  </si>
  <si>
    <t>SEMANA  04/05/2026   A   10/05/2026</t>
  </si>
  <si>
    <t>SEMANA 4</t>
  </si>
  <si>
    <t>SEMANA  11/05/2026   A   17/05/2026</t>
  </si>
  <si>
    <t>SEMANA 5</t>
  </si>
  <si>
    <t>SEMANA  18/05/2026   A   24/05/2026</t>
  </si>
  <si>
    <t>SEMANA 6</t>
  </si>
  <si>
    <t>SEMANA  25/05/2026   A   31/05/2026</t>
  </si>
  <si>
    <t>SEMANA 7</t>
  </si>
  <si>
    <t>SEMANA  01/06/2026   A   07/06/2026</t>
  </si>
  <si>
    <t>SEMANA 8</t>
  </si>
  <si>
    <t>SEMANA  08/06/2026   A   14/06/2026</t>
  </si>
  <si>
    <t>SEMANA 9</t>
  </si>
  <si>
    <t>SEMANA  15/06/2026   A   21/06/2026</t>
  </si>
  <si>
    <t>FERMAPLUS (armazem)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</si>
</sst>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#,##0.000"/>
    <numFmt numFmtId="166" formatCode="&quot;R$ &quot;#,##0.00"/>
    <numFmt numFmtId="167" formatCode="#,##0.0"/>
    <numFmt numFmtId="168" formatCode="0.000"/>
  </numFmts>
  <fonts count="15" x14ac:knownFonts="1">
    <font>
      <sz val="11"/>
      <color rgb="FF000000"/>
      <name val="Calibri"/>
      <family val="2"/>
      <charset val="1"/>
    </font>
    <font>
      <sz val="9"/>
      <color rgb="FF000000"/>
      <name val="Century Gothic"/>
      <family val="2"/>
      <charset val="1"/>
    </font>
    <font>
      <b/>
      <sz val="11"/>
      <color rgb="FF000000"/>
      <name val="Century Gothic"/>
      <family val="2"/>
      <charset val="1"/>
    </font>
    <font>
      <b/>
      <sz val="16"/>
      <color rgb="FF000000"/>
      <name val="Century Gothic"/>
      <family val="2"/>
      <charset val="1"/>
    </font>
    <font>
      <b/>
      <sz val="9"/>
      <color rgb="FF000000"/>
      <name val="Century Gothic"/>
      <family val="2"/>
      <charset val="1"/>
    </font>
    <font>
      <sz val="9"/>
      <color rgb="FFFFFFFF"/>
      <name val="Century Gothic"/>
      <family val="2"/>
      <charset val="1"/>
    </font>
    <font>
      <b/>
      <sz val="8"/>
      <color rgb="FF000000"/>
      <name val="Century Gothic"/>
      <family val="2"/>
      <charset val="1"/>
    </font>
    <font>
      <sz val="8"/>
      <color rgb="FF000000"/>
      <name val="Century Gothic"/>
      <family val="2"/>
      <charset val="1"/>
    </font>
    <font>
      <b/>
      <sz val="8"/>
      <color rgb="FFFF0000"/>
      <name val="Century Gothic"/>
      <family val="2"/>
      <charset val="1"/>
    </font>
    <font>
      <b/>
      <sz val="9"/>
      <color rgb="FFFF0000"/>
      <name val="Century Gothic"/>
      <family val="2"/>
      <charset val="1"/>
    </font>
    <font>
      <b/>
      <sz val="11"/>
      <color rgb="FFFF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8"/>
      <color rgb="FFFFFFFF"/>
      <name val="Century Gothic"/>
      <family val="2"/>
      <charset val="1"/>
    </font>
    <font>
      <b/>
      <sz val="8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D0CECE"/>
        <bgColor rgb="FFCCCCFF"/>
      </patternFill>
    </fill>
    <fill>
      <patternFill patternType="solid">
        <fgColor rgb="FFE7E6E6"/>
        <bgColor rgb="FFD0CECE"/>
      </patternFill>
    </fill>
  </fills>
  <borders count="3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 vertical="center"/>
    </xf>
    <xf numFmtId="0" fontId="5" fillId="2" borderId="0" xfId="0" applyFont="1" applyFill="1" applyAlignment="1" applyProtection="1"/>
    <xf numFmtId="0" fontId="5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6" fillId="0" borderId="0" xfId="0" applyFont="1" applyAlignment="1" applyProtection="1"/>
    <xf numFmtId="0" fontId="6" fillId="0" borderId="0" xfId="0" applyFont="1" applyAlignment="1" applyProtection="1">
      <alignment horizontal="center"/>
    </xf>
    <xf numFmtId="0" fontId="7" fillId="0" borderId="1" xfId="0" applyFont="1" applyBorder="1" applyAlignment="1" applyProtection="1"/>
    <xf numFmtId="3" fontId="1" fillId="0" borderId="2" xfId="0" applyNumberFormat="1" applyFont="1" applyBorder="1" applyAlignment="1" applyProtection="1">
      <alignment horizontal="center" vertical="center"/>
    </xf>
    <xf numFmtId="3" fontId="1" fillId="0" borderId="3" xfId="0" applyNumberFormat="1" applyFont="1" applyBorder="1" applyAlignment="1" applyProtection="1">
      <alignment horizontal="center" vertical="center"/>
    </xf>
    <xf numFmtId="3" fontId="0" fillId="0" borderId="0" xfId="0" applyNumberFormat="1" applyAlignment="1" applyProtection="1">
      <alignment horizontal="center" vertical="center"/>
    </xf>
    <xf numFmtId="0" fontId="7" fillId="3" borderId="4" xfId="0" applyFont="1" applyFill="1" applyBorder="1" applyAlignment="1" applyProtection="1"/>
    <xf numFmtId="0" fontId="1" fillId="0" borderId="5" xfId="0" applyFont="1" applyBorder="1" applyAlignment="1" applyProtection="1">
      <alignment horizontal="center"/>
    </xf>
    <xf numFmtId="3" fontId="1" fillId="0" borderId="6" xfId="0" applyNumberFormat="1" applyFont="1" applyBorder="1" applyAlignment="1" applyProtection="1">
      <alignment horizontal="center" vertical="center"/>
    </xf>
    <xf numFmtId="3" fontId="1" fillId="0" borderId="7" xfId="0" applyNumberFormat="1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/>
    </xf>
    <xf numFmtId="164" fontId="1" fillId="0" borderId="7" xfId="0" applyNumberFormat="1" applyFont="1" applyBorder="1" applyAlignment="1" applyProtection="1">
      <alignment horizontal="center" vertical="center"/>
    </xf>
    <xf numFmtId="2" fontId="1" fillId="0" borderId="7" xfId="0" applyNumberFormat="1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/>
    <xf numFmtId="3" fontId="1" fillId="0" borderId="9" xfId="0" applyNumberFormat="1" applyFont="1" applyBorder="1" applyAlignment="1" applyProtection="1">
      <alignment horizontal="center" vertical="center"/>
    </xf>
    <xf numFmtId="3" fontId="1" fillId="0" borderId="10" xfId="0" applyNumberFormat="1" applyFont="1" applyBorder="1" applyAlignment="1" applyProtection="1">
      <alignment horizontal="center" vertical="center"/>
    </xf>
    <xf numFmtId="0" fontId="7" fillId="3" borderId="11" xfId="0" applyFont="1" applyFill="1" applyBorder="1" applyAlignment="1" applyProtection="1"/>
    <xf numFmtId="0" fontId="1" fillId="0" borderId="12" xfId="0" applyFont="1" applyBorder="1" applyAlignment="1" applyProtection="1">
      <alignment horizontal="center"/>
    </xf>
    <xf numFmtId="3" fontId="1" fillId="0" borderId="13" xfId="0" applyNumberFormat="1" applyFont="1" applyBorder="1" applyAlignment="1" applyProtection="1">
      <alignment horizontal="center" vertical="center"/>
    </xf>
    <xf numFmtId="1" fontId="1" fillId="0" borderId="7" xfId="0" applyNumberFormat="1" applyFont="1" applyBorder="1" applyAlignment="1" applyProtection="1">
      <alignment horizontal="center" vertical="center"/>
    </xf>
    <xf numFmtId="0" fontId="7" fillId="0" borderId="14" xfId="0" applyFont="1" applyBorder="1" applyAlignment="1" applyProtection="1"/>
    <xf numFmtId="3" fontId="1" fillId="0" borderId="15" xfId="0" applyNumberFormat="1" applyFont="1" applyBorder="1" applyAlignment="1" applyProtection="1">
      <alignment horizontal="center" vertical="center"/>
    </xf>
    <xf numFmtId="3" fontId="1" fillId="0" borderId="16" xfId="0" applyNumberFormat="1" applyFont="1" applyBorder="1" applyAlignment="1" applyProtection="1">
      <alignment horizontal="center" vertical="center"/>
    </xf>
    <xf numFmtId="0" fontId="8" fillId="0" borderId="17" xfId="0" applyFont="1" applyBorder="1" applyAlignment="1" applyProtection="1"/>
    <xf numFmtId="3" fontId="9" fillId="0" borderId="18" xfId="0" applyNumberFormat="1" applyFont="1" applyBorder="1" applyAlignment="1" applyProtection="1">
      <alignment horizontal="center" vertical="center"/>
    </xf>
    <xf numFmtId="3" fontId="9" fillId="0" borderId="19" xfId="0" applyNumberFormat="1" applyFont="1" applyBorder="1" applyAlignment="1" applyProtection="1">
      <alignment horizontal="center" vertical="center"/>
    </xf>
    <xf numFmtId="3" fontId="10" fillId="0" borderId="0" xfId="0" applyNumberFormat="1" applyFont="1" applyAlignment="1" applyProtection="1">
      <alignment horizontal="center" vertical="center"/>
    </xf>
    <xf numFmtId="3" fontId="8" fillId="0" borderId="20" xfId="0" applyNumberFormat="1" applyFont="1" applyBorder="1" applyAlignment="1" applyProtection="1">
      <alignment horizontal="left" vertical="center"/>
    </xf>
    <xf numFmtId="3" fontId="9" fillId="0" borderId="21" xfId="0" applyNumberFormat="1" applyFont="1" applyBorder="1" applyAlignment="1" applyProtection="1">
      <alignment horizontal="center" vertical="center"/>
    </xf>
    <xf numFmtId="3" fontId="9" fillId="0" borderId="22" xfId="0" applyNumberFormat="1" applyFont="1" applyBorder="1" applyAlignment="1" applyProtection="1">
      <alignment horizontal="center" vertical="center"/>
    </xf>
    <xf numFmtId="3" fontId="9" fillId="0" borderId="0" xfId="0" applyNumberFormat="1" applyFont="1" applyAlignment="1" applyProtection="1">
      <alignment horizontal="center" vertical="center"/>
    </xf>
    <xf numFmtId="0" fontId="4" fillId="4" borderId="0" xfId="0" applyFont="1" applyFill="1" applyAlignment="1" applyProtection="1"/>
    <xf numFmtId="0" fontId="7" fillId="0" borderId="9" xfId="0" applyFont="1" applyBorder="1" applyAlignment="1" applyProtection="1"/>
    <xf numFmtId="0" fontId="7" fillId="0" borderId="9" xfId="0" applyFont="1" applyBorder="1" applyAlignment="1" applyProtection="1">
      <alignment horizontal="left"/>
    </xf>
    <xf numFmtId="0" fontId="7" fillId="3" borderId="23" xfId="0" applyFont="1" applyFill="1" applyBorder="1" applyAlignment="1" applyProtection="1"/>
    <xf numFmtId="0" fontId="1" fillId="0" borderId="24" xfId="0" applyFont="1" applyBorder="1" applyAlignment="1" applyProtection="1">
      <alignment horizontal="center"/>
    </xf>
    <xf numFmtId="3" fontId="1" fillId="0" borderId="25" xfId="0" applyNumberFormat="1" applyFont="1" applyBorder="1" applyAlignment="1" applyProtection="1">
      <alignment horizontal="center" vertical="center"/>
    </xf>
    <xf numFmtId="165" fontId="1" fillId="0" borderId="9" xfId="0" applyNumberFormat="1" applyFont="1" applyBorder="1" applyAlignment="1" applyProtection="1">
      <alignment horizontal="left"/>
    </xf>
    <xf numFmtId="0" fontId="7" fillId="0" borderId="15" xfId="0" applyFont="1" applyBorder="1" applyAlignment="1" applyProtection="1"/>
    <xf numFmtId="165" fontId="1" fillId="0" borderId="15" xfId="0" applyNumberFormat="1" applyFont="1" applyBorder="1" applyAlignment="1" applyProtection="1">
      <alignment horizontal="left"/>
    </xf>
    <xf numFmtId="0" fontId="5" fillId="0" borderId="0" xfId="0" applyFont="1" applyAlignment="1" applyProtection="1"/>
    <xf numFmtId="0" fontId="8" fillId="0" borderId="26" xfId="0" applyFont="1" applyBorder="1" applyAlignment="1" applyProtection="1"/>
    <xf numFmtId="165" fontId="9" fillId="0" borderId="27" xfId="0" applyNumberFormat="1" applyFont="1" applyBorder="1" applyAlignment="1" applyProtection="1">
      <alignment horizontal="left"/>
    </xf>
    <xf numFmtId="3" fontId="9" fillId="0" borderId="28" xfId="0" applyNumberFormat="1" applyFont="1" applyBorder="1" applyAlignment="1" applyProtection="1">
      <alignment horizontal="left"/>
    </xf>
    <xf numFmtId="0" fontId="7" fillId="0" borderId="9" xfId="0" applyFont="1" applyBorder="1" applyAlignment="1" applyProtection="1">
      <alignment horizontal="center" vertical="center"/>
    </xf>
    <xf numFmtId="0" fontId="6" fillId="4" borderId="0" xfId="0" applyFont="1" applyFill="1" applyAlignment="1" applyProtection="1"/>
    <xf numFmtId="0" fontId="6" fillId="4" borderId="0" xfId="0" applyFont="1" applyFill="1" applyAlignment="1" applyProtection="1">
      <alignment horizontal="left"/>
    </xf>
    <xf numFmtId="166" fontId="1" fillId="0" borderId="9" xfId="0" applyNumberFormat="1" applyFont="1" applyBorder="1" applyAlignment="1" applyProtection="1">
      <alignment horizontal="left"/>
    </xf>
    <xf numFmtId="166" fontId="1" fillId="0" borderId="15" xfId="0" applyNumberFormat="1" applyFont="1" applyBorder="1" applyAlignment="1" applyProtection="1">
      <alignment horizontal="left"/>
    </xf>
    <xf numFmtId="4" fontId="9" fillId="0" borderId="27" xfId="0" applyNumberFormat="1" applyFont="1" applyBorder="1" applyAlignment="1" applyProtection="1">
      <alignment horizontal="left"/>
    </xf>
    <xf numFmtId="4" fontId="9" fillId="0" borderId="28" xfId="0" applyNumberFormat="1" applyFont="1" applyBorder="1" applyAlignment="1" applyProtection="1">
      <alignment horizontal="left"/>
    </xf>
    <xf numFmtId="3" fontId="1" fillId="0" borderId="29" xfId="0" applyNumberFormat="1" applyFont="1" applyBorder="1" applyAlignment="1" applyProtection="1">
      <alignment horizontal="center" vertical="center"/>
    </xf>
    <xf numFmtId="0" fontId="7" fillId="0" borderId="30" xfId="0" applyFont="1" applyBorder="1" applyAlignment="1" applyProtection="1"/>
    <xf numFmtId="2" fontId="1" fillId="0" borderId="30" xfId="0" applyNumberFormat="1" applyFont="1" applyBorder="1" applyAlignment="1" applyProtection="1">
      <alignment horizontal="center"/>
    </xf>
    <xf numFmtId="0" fontId="1" fillId="0" borderId="30" xfId="0" applyFont="1" applyBorder="1" applyAlignment="1" applyProtection="1">
      <alignment horizontal="left"/>
    </xf>
    <xf numFmtId="0" fontId="7" fillId="0" borderId="31" xfId="0" applyFont="1" applyBorder="1" applyAlignment="1" applyProtection="1"/>
    <xf numFmtId="2" fontId="1" fillId="0" borderId="31" xfId="0" applyNumberFormat="1" applyFont="1" applyBorder="1" applyAlignment="1" applyProtection="1">
      <alignment horizontal="center"/>
    </xf>
    <xf numFmtId="0" fontId="1" fillId="0" borderId="31" xfId="0" applyFont="1" applyBorder="1" applyAlignment="1" applyProtection="1">
      <alignment horizontal="left"/>
    </xf>
    <xf numFmtId="2" fontId="9" fillId="0" borderId="27" xfId="0" applyNumberFormat="1" applyFont="1" applyBorder="1" applyAlignment="1" applyProtection="1">
      <alignment horizontal="center"/>
    </xf>
    <xf numFmtId="0" fontId="9" fillId="0" borderId="27" xfId="0" applyFont="1" applyBorder="1" applyAlignment="1" applyProtection="1">
      <alignment horizontal="left"/>
    </xf>
    <xf numFmtId="0" fontId="9" fillId="0" borderId="28" xfId="0" applyFont="1" applyBorder="1" applyAlignment="1" applyProtection="1">
      <alignment horizontal="left"/>
    </xf>
    <xf numFmtId="167" fontId="1" fillId="0" borderId="7" xfId="0" applyNumberFormat="1" applyFont="1" applyBorder="1" applyAlignment="1" applyProtection="1">
      <alignment horizontal="center" vertical="center"/>
    </xf>
    <xf numFmtId="0" fontId="0" fillId="0" borderId="0" xfId="0" applyFont="1" applyAlignment="1" applyProtection="1"/>
    <xf numFmtId="0" fontId="7" fillId="4" borderId="11" xfId="0" applyFont="1" applyFill="1" applyBorder="1" applyAlignment="1" applyProtection="1"/>
    <xf numFmtId="3" fontId="7" fillId="0" borderId="7" xfId="0" applyNumberFormat="1" applyFont="1" applyBorder="1" applyAlignment="1" applyProtection="1">
      <alignment horizontal="center" vertical="center"/>
      <protection locked="0"/>
    </xf>
    <xf numFmtId="2" fontId="7" fillId="0" borderId="7" xfId="0" applyNumberFormat="1" applyFont="1" applyBorder="1" applyAlignment="1" applyProtection="1">
      <alignment horizontal="center" vertical="center"/>
      <protection locked="0"/>
    </xf>
    <xf numFmtId="3" fontId="7" fillId="0" borderId="7" xfId="0" applyNumberFormat="1" applyFont="1" applyBorder="1" applyAlignment="1" applyProtection="1">
      <alignment horizontal="center" vertical="center"/>
    </xf>
    <xf numFmtId="0" fontId="11" fillId="0" borderId="0" xfId="0" applyFont="1" applyAlignment="1" applyProtection="1"/>
    <xf numFmtId="0" fontId="7" fillId="0" borderId="0" xfId="0" applyFont="1" applyAlignment="1" applyProtection="1"/>
    <xf numFmtId="0" fontId="4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13" fillId="2" borderId="0" xfId="0" applyFont="1" applyFill="1" applyAlignment="1" applyProtection="1"/>
    <xf numFmtId="0" fontId="13" fillId="2" borderId="0" xfId="0" applyFont="1" applyFill="1" applyAlignment="1" applyProtection="1">
      <alignment horizontal="left"/>
    </xf>
    <xf numFmtId="0" fontId="13" fillId="0" borderId="0" xfId="0" applyFont="1" applyAlignment="1" applyProtection="1">
      <alignment horizontal="left"/>
    </xf>
    <xf numFmtId="3" fontId="7" fillId="0" borderId="9" xfId="0" applyNumberFormat="1" applyFont="1" applyBorder="1" applyAlignment="1" applyProtection="1">
      <alignment horizontal="center" vertical="center"/>
      <protection locked="0"/>
    </xf>
    <xf numFmtId="3" fontId="7" fillId="0" borderId="9" xfId="0" applyNumberFormat="1" applyFont="1" applyBorder="1" applyAlignment="1" applyProtection="1">
      <alignment horizontal="center" vertical="center"/>
    </xf>
    <xf numFmtId="3" fontId="11" fillId="0" borderId="0" xfId="0" applyNumberFormat="1" applyFont="1" applyAlignment="1" applyProtection="1">
      <alignment horizontal="center" vertical="center"/>
    </xf>
    <xf numFmtId="0" fontId="7" fillId="4" borderId="4" xfId="0" applyFont="1" applyFill="1" applyBorder="1" applyAlignment="1" applyProtection="1"/>
    <xf numFmtId="0" fontId="7" fillId="0" borderId="32" xfId="0" applyFont="1" applyBorder="1" applyAlignment="1" applyProtection="1"/>
    <xf numFmtId="4" fontId="7" fillId="0" borderId="7" xfId="0" applyNumberFormat="1" applyFont="1" applyBorder="1" applyAlignment="1" applyProtection="1">
      <alignment horizontal="center" vertical="center"/>
    </xf>
    <xf numFmtId="2" fontId="7" fillId="0" borderId="7" xfId="0" applyNumberFormat="1" applyFont="1" applyBorder="1" applyAlignment="1" applyProtection="1">
      <alignment horizontal="center" vertical="center"/>
    </xf>
    <xf numFmtId="0" fontId="7" fillId="0" borderId="33" xfId="0" applyFont="1" applyBorder="1" applyAlignment="1" applyProtection="1"/>
    <xf numFmtId="1" fontId="7" fillId="0" borderId="7" xfId="0" applyNumberFormat="1" applyFont="1" applyBorder="1" applyAlignment="1" applyProtection="1">
      <alignment horizontal="center" vertical="center"/>
    </xf>
    <xf numFmtId="3" fontId="7" fillId="0" borderId="15" xfId="0" applyNumberFormat="1" applyFont="1" applyBorder="1" applyAlignment="1" applyProtection="1">
      <alignment horizontal="center" vertical="center"/>
      <protection locked="0"/>
    </xf>
    <xf numFmtId="3" fontId="8" fillId="0" borderId="18" xfId="0" applyNumberFormat="1" applyFont="1" applyBorder="1" applyAlignment="1" applyProtection="1">
      <alignment horizontal="center" vertical="center"/>
    </xf>
    <xf numFmtId="3" fontId="8" fillId="0" borderId="19" xfId="0" applyNumberFormat="1" applyFont="1" applyBorder="1" applyAlignment="1" applyProtection="1">
      <alignment horizontal="center" vertical="center"/>
    </xf>
    <xf numFmtId="3" fontId="14" fillId="0" borderId="0" xfId="0" applyNumberFormat="1" applyFont="1" applyAlignment="1" applyProtection="1">
      <alignment horizontal="center" vertical="center"/>
    </xf>
    <xf numFmtId="3" fontId="8" fillId="0" borderId="21" xfId="0" applyNumberFormat="1" applyFont="1" applyBorder="1" applyAlignment="1" applyProtection="1">
      <alignment horizontal="center" vertical="center"/>
    </xf>
    <xf numFmtId="3" fontId="8" fillId="0" borderId="22" xfId="0" applyNumberFormat="1" applyFont="1" applyBorder="1" applyAlignment="1" applyProtection="1">
      <alignment horizontal="center" vertical="center"/>
    </xf>
    <xf numFmtId="3" fontId="8" fillId="0" borderId="0" xfId="0" applyNumberFormat="1" applyFont="1" applyAlignment="1" applyProtection="1">
      <alignment horizontal="center" vertical="center"/>
    </xf>
    <xf numFmtId="0" fontId="7" fillId="4" borderId="0" xfId="0" applyFont="1" applyFill="1" applyAlignment="1" applyProtection="1"/>
    <xf numFmtId="0" fontId="7" fillId="4" borderId="23" xfId="0" applyFont="1" applyFill="1" applyBorder="1" applyAlignment="1" applyProtection="1"/>
    <xf numFmtId="0" fontId="7" fillId="0" borderId="34" xfId="0" applyFont="1" applyBorder="1" applyAlignment="1" applyProtection="1"/>
    <xf numFmtId="4" fontId="7" fillId="0" borderId="9" xfId="0" applyNumberFormat="1" applyFont="1" applyBorder="1" applyAlignment="1" applyProtection="1">
      <alignment horizontal="left"/>
      <protection locked="0"/>
    </xf>
    <xf numFmtId="165" fontId="7" fillId="0" borderId="9" xfId="0" applyNumberFormat="1" applyFont="1" applyBorder="1" applyAlignment="1" applyProtection="1">
      <alignment horizontal="left"/>
    </xf>
    <xf numFmtId="165" fontId="7" fillId="0" borderId="9" xfId="0" applyNumberFormat="1" applyFont="1" applyBorder="1" applyAlignment="1" applyProtection="1">
      <alignment horizontal="left"/>
      <protection locked="0"/>
    </xf>
    <xf numFmtId="165" fontId="7" fillId="0" borderId="15" xfId="0" applyNumberFormat="1" applyFont="1" applyBorder="1" applyAlignment="1" applyProtection="1">
      <alignment horizontal="left"/>
      <protection locked="0"/>
    </xf>
    <xf numFmtId="0" fontId="13" fillId="0" borderId="0" xfId="0" applyFont="1" applyAlignment="1" applyProtection="1"/>
    <xf numFmtId="165" fontId="8" fillId="0" borderId="27" xfId="0" applyNumberFormat="1" applyFont="1" applyBorder="1" applyAlignment="1" applyProtection="1">
      <alignment horizontal="left"/>
    </xf>
    <xf numFmtId="165" fontId="8" fillId="0" borderId="28" xfId="0" applyNumberFormat="1" applyFont="1" applyBorder="1" applyAlignment="1" applyProtection="1">
      <alignment horizontal="left"/>
      <protection locked="0"/>
    </xf>
    <xf numFmtId="166" fontId="7" fillId="0" borderId="9" xfId="0" applyNumberFormat="1" applyFont="1" applyBorder="1" applyAlignment="1" applyProtection="1">
      <alignment horizontal="left"/>
    </xf>
    <xf numFmtId="4" fontId="8" fillId="0" borderId="27" xfId="0" applyNumberFormat="1" applyFont="1" applyBorder="1" applyAlignment="1" applyProtection="1">
      <alignment horizontal="left"/>
    </xf>
    <xf numFmtId="4" fontId="8" fillId="0" borderId="28" xfId="0" applyNumberFormat="1" applyFont="1" applyBorder="1" applyAlignment="1" applyProtection="1">
      <alignment horizontal="left"/>
    </xf>
    <xf numFmtId="2" fontId="7" fillId="0" borderId="9" xfId="0" applyNumberFormat="1" applyFont="1" applyBorder="1" applyAlignment="1" applyProtection="1">
      <alignment horizontal="center"/>
    </xf>
    <xf numFmtId="0" fontId="7" fillId="0" borderId="7" xfId="0" applyFont="1" applyBorder="1" applyAlignment="1" applyProtection="1">
      <alignment horizontal="center" vertical="center"/>
      <protection locked="0"/>
    </xf>
    <xf numFmtId="2" fontId="7" fillId="0" borderId="15" xfId="0" applyNumberFormat="1" applyFont="1" applyBorder="1" applyAlignment="1" applyProtection="1">
      <alignment horizontal="center"/>
    </xf>
    <xf numFmtId="0" fontId="7" fillId="0" borderId="15" xfId="0" applyFont="1" applyBorder="1" applyAlignment="1" applyProtection="1">
      <alignment horizontal="left"/>
    </xf>
    <xf numFmtId="0" fontId="7" fillId="0" borderId="4" xfId="0" applyFont="1" applyBorder="1" applyAlignment="1" applyProtection="1"/>
    <xf numFmtId="2" fontId="8" fillId="0" borderId="27" xfId="0" applyNumberFormat="1" applyFont="1" applyBorder="1" applyAlignment="1" applyProtection="1">
      <alignment horizontal="center"/>
    </xf>
    <xf numFmtId="0" fontId="8" fillId="0" borderId="27" xfId="0" applyFont="1" applyBorder="1" applyAlignment="1" applyProtection="1">
      <alignment horizontal="left"/>
    </xf>
    <xf numFmtId="0" fontId="8" fillId="0" borderId="28" xfId="0" applyFont="1" applyBorder="1" applyAlignment="1" applyProtection="1">
      <alignment horizontal="left"/>
    </xf>
    <xf numFmtId="0" fontId="7" fillId="0" borderId="11" xfId="0" applyFont="1" applyBorder="1" applyAlignment="1" applyProtection="1"/>
    <xf numFmtId="0" fontId="7" fillId="0" borderId="23" xfId="0" applyFont="1" applyBorder="1" applyAlignment="1" applyProtection="1"/>
    <xf numFmtId="0" fontId="7" fillId="0" borderId="35" xfId="0" applyFont="1" applyBorder="1" applyAlignment="1" applyProtection="1"/>
    <xf numFmtId="3" fontId="1" fillId="0" borderId="7" xfId="0" applyNumberFormat="1" applyFont="1" applyBorder="1" applyAlignment="1" applyProtection="1">
      <alignment horizontal="center" vertical="center"/>
      <protection locked="0"/>
    </xf>
    <xf numFmtId="4" fontId="7" fillId="0" borderId="9" xfId="0" applyNumberFormat="1" applyFont="1" applyBorder="1" applyAlignment="1" applyProtection="1">
      <alignment horizontal="center" vertical="center"/>
    </xf>
    <xf numFmtId="2" fontId="7" fillId="0" borderId="9" xfId="0" applyNumberFormat="1" applyFont="1" applyBorder="1" applyAlignment="1" applyProtection="1">
      <alignment horizontal="center" vertical="center"/>
    </xf>
    <xf numFmtId="1" fontId="7" fillId="0" borderId="9" xfId="0" applyNumberFormat="1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6" xfId="0" applyFont="1" applyBorder="1" applyAlignment="1" applyProtection="1"/>
    <xf numFmtId="168" fontId="1" fillId="0" borderId="7" xfId="0" applyNumberFormat="1" applyFont="1" applyBorder="1" applyAlignment="1" applyProtection="1">
      <alignment horizontal="center" vertical="center"/>
    </xf>
    <xf numFmtId="0" fontId="2" fillId="0" borderId="0" xfId="0" applyFont="1" applyBorder="1" applyAlignment="1" applyProtection="1"/>
    <xf numFmtId="0" fontId="5" fillId="2" borderId="0" xfId="0" applyFont="1" applyFill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12" fillId="0" borderId="0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74203EE-4CD5-427A-BECB-918B5C2292D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43200</xdr:colOff>
      <xdr:row>0</xdr:row>
      <xdr:rowOff>28800</xdr:rowOff>
    </xdr:from>
    <xdr:to>
      <xdr:col>15</xdr:col>
      <xdr:colOff>648360</xdr:colOff>
      <xdr:row>2</xdr:row>
      <xdr:rowOff>88920</xdr:rowOff>
    </xdr:to>
    <xdr:pic>
      <xdr:nvPicPr>
        <xdr:cNvPr id="2" name="Imagem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069200" y="28800"/>
          <a:ext cx="1440360" cy="42444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266760</xdr:colOff>
      <xdr:row>0</xdr:row>
      <xdr:rowOff>10800</xdr:rowOff>
    </xdr:from>
    <xdr:to>
      <xdr:col>15</xdr:col>
      <xdr:colOff>889200</xdr:colOff>
      <xdr:row>2</xdr:row>
      <xdr:rowOff>10080</xdr:rowOff>
    </xdr:to>
    <xdr:pic>
      <xdr:nvPicPr>
        <xdr:cNvPr id="2" name="Imagem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231920" y="10800"/>
          <a:ext cx="1599120" cy="35172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266760</xdr:colOff>
      <xdr:row>0</xdr:row>
      <xdr:rowOff>10800</xdr:rowOff>
    </xdr:from>
    <xdr:to>
      <xdr:col>15</xdr:col>
      <xdr:colOff>889200</xdr:colOff>
      <xdr:row>2</xdr:row>
      <xdr:rowOff>10080</xdr:rowOff>
    </xdr:to>
    <xdr:pic>
      <xdr:nvPicPr>
        <xdr:cNvPr id="2" name="Imagem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231920" y="10800"/>
          <a:ext cx="1599120" cy="35172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266760</xdr:colOff>
      <xdr:row>0</xdr:row>
      <xdr:rowOff>10800</xdr:rowOff>
    </xdr:from>
    <xdr:to>
      <xdr:col>15</xdr:col>
      <xdr:colOff>889200</xdr:colOff>
      <xdr:row>2</xdr:row>
      <xdr:rowOff>10080</xdr:rowOff>
    </xdr:to>
    <xdr:pic>
      <xdr:nvPicPr>
        <xdr:cNvPr id="3" name="Imagem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231920" y="10800"/>
          <a:ext cx="1599120" cy="35172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266760</xdr:colOff>
      <xdr:row>0</xdr:row>
      <xdr:rowOff>10800</xdr:rowOff>
    </xdr:from>
    <xdr:to>
      <xdr:col>15</xdr:col>
      <xdr:colOff>889200</xdr:colOff>
      <xdr:row>2</xdr:row>
      <xdr:rowOff>10080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231920" y="10800"/>
          <a:ext cx="1599120" cy="35172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266760</xdr:colOff>
      <xdr:row>0</xdr:row>
      <xdr:rowOff>10800</xdr:rowOff>
    </xdr:from>
    <xdr:to>
      <xdr:col>15</xdr:col>
      <xdr:colOff>889200</xdr:colOff>
      <xdr:row>2</xdr:row>
      <xdr:rowOff>10080</xdr:rowOff>
    </xdr:to>
    <xdr:pic>
      <xdr:nvPicPr>
        <xdr:cNvPr id="5" name="Imagem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231920" y="10800"/>
          <a:ext cx="1599120" cy="35172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266760</xdr:colOff>
      <xdr:row>0</xdr:row>
      <xdr:rowOff>10800</xdr:rowOff>
    </xdr:from>
    <xdr:to>
      <xdr:col>15</xdr:col>
      <xdr:colOff>889200</xdr:colOff>
      <xdr:row>2</xdr:row>
      <xdr:rowOff>10080</xdr:rowOff>
    </xdr:to>
    <xdr:pic>
      <xdr:nvPicPr>
        <xdr:cNvPr id="6" name="Imagem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231920" y="10800"/>
          <a:ext cx="1599120" cy="35172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266760</xdr:colOff>
      <xdr:row>0</xdr:row>
      <xdr:rowOff>10800</xdr:rowOff>
    </xdr:from>
    <xdr:to>
      <xdr:col>15</xdr:col>
      <xdr:colOff>889200</xdr:colOff>
      <xdr:row>2</xdr:row>
      <xdr:rowOff>10080</xdr:rowOff>
    </xdr:to>
    <xdr:pic>
      <xdr:nvPicPr>
        <xdr:cNvPr id="7" name="Imagem 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231920" y="10800"/>
          <a:ext cx="1599120" cy="35172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266760</xdr:colOff>
      <xdr:row>0</xdr:row>
      <xdr:rowOff>10800</xdr:rowOff>
    </xdr:from>
    <xdr:to>
      <xdr:col>15</xdr:col>
      <xdr:colOff>889200</xdr:colOff>
      <xdr:row>2</xdr:row>
      <xdr:rowOff>10080</xdr:rowOff>
    </xdr:to>
    <xdr:pic>
      <xdr:nvPicPr>
        <xdr:cNvPr id="8" name="Imagem 2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231920" y="10800"/>
          <a:ext cx="1599120" cy="35172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266760</xdr:colOff>
      <xdr:row>0</xdr:row>
      <xdr:rowOff>10800</xdr:rowOff>
    </xdr:from>
    <xdr:to>
      <xdr:col>15</xdr:col>
      <xdr:colOff>889200</xdr:colOff>
      <xdr:row>2</xdr:row>
      <xdr:rowOff>10080</xdr:rowOff>
    </xdr:to>
    <xdr:pic>
      <xdr:nvPicPr>
        <xdr:cNvPr id="9" name="Imagem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231920" y="10800"/>
          <a:ext cx="1599120" cy="35172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zoomScale="90" zoomScaleNormal="90" workbookViewId="0">
      <selection activeCell="F40" sqref="F40"/>
    </sheetView>
  </sheetViews>
  <sheetFormatPr defaultColWidth="9.1796875" defaultRowHeight="15" customHeight="1" x14ac:dyDescent="0.35"/>
  <cols>
    <col min="1" max="1" width="1.81640625" style="1" customWidth="1"/>
    <col min="2" max="2" width="22.453125" style="1" customWidth="1"/>
    <col min="3" max="3" width="3.54296875" style="2" customWidth="1"/>
    <col min="4" max="4" width="10.453125" style="1" customWidth="1"/>
    <col min="5" max="5" width="7.54296875" style="1" customWidth="1"/>
    <col min="6" max="6" width="12" style="1" customWidth="1"/>
    <col min="7" max="7" width="9.26953125" style="1" customWidth="1"/>
    <col min="9" max="9" width="9.26953125" style="1" customWidth="1"/>
    <col min="10" max="10" width="7.54296875" style="1" customWidth="1"/>
    <col min="11" max="11" width="6.54296875" style="1" customWidth="1"/>
    <col min="12" max="12" width="5.453125" style="1" customWidth="1"/>
    <col min="13" max="13" width="25.26953125" style="1" customWidth="1"/>
    <col min="14" max="16" width="11.81640625" style="1" customWidth="1"/>
    <col min="17" max="17" width="10.26953125" style="1" customWidth="1"/>
  </cols>
  <sheetData>
    <row r="1" spans="1:18" ht="9" customHeight="1" x14ac:dyDescent="0.35">
      <c r="A1" s="3"/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9.5" x14ac:dyDescent="0.35">
      <c r="A2" s="3"/>
      <c r="B2" s="5" t="s">
        <v>0</v>
      </c>
      <c r="C2" s="4"/>
      <c r="D2" s="3"/>
      <c r="E2" s="134" t="s">
        <v>1</v>
      </c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3"/>
      <c r="R2" s="3"/>
    </row>
    <row r="3" spans="1:18" ht="14.5" x14ac:dyDescent="0.35">
      <c r="A3" s="3"/>
      <c r="B3" s="5">
        <v>1</v>
      </c>
      <c r="C3" s="135" t="s">
        <v>2</v>
      </c>
      <c r="D3" s="135"/>
      <c r="E3" s="135"/>
      <c r="F3" s="135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4.5" x14ac:dyDescent="0.35">
      <c r="A4" s="3"/>
      <c r="B4" s="6" t="s">
        <v>3</v>
      </c>
      <c r="C4" s="7" t="s">
        <v>4</v>
      </c>
      <c r="D4" s="133" t="s">
        <v>5</v>
      </c>
      <c r="E4" s="133"/>
      <c r="F4" s="133" t="s">
        <v>6</v>
      </c>
      <c r="G4" s="133"/>
      <c r="H4" s="133"/>
      <c r="I4" s="133" t="s">
        <v>7</v>
      </c>
      <c r="J4" s="133"/>
      <c r="K4" s="6"/>
      <c r="L4" s="6"/>
      <c r="M4" s="6" t="s">
        <v>8</v>
      </c>
      <c r="N4" s="8" t="s">
        <v>9</v>
      </c>
      <c r="O4" s="8" t="s">
        <v>10</v>
      </c>
      <c r="P4" s="8" t="s">
        <v>11</v>
      </c>
      <c r="Q4" s="9"/>
      <c r="R4" s="3"/>
    </row>
    <row r="5" spans="1:18" ht="14.5" x14ac:dyDescent="0.35">
      <c r="A5" s="3"/>
      <c r="B5" s="10"/>
      <c r="C5" s="11"/>
      <c r="D5" s="10" t="s">
        <v>12</v>
      </c>
      <c r="E5" s="10" t="s">
        <v>13</v>
      </c>
      <c r="F5" s="10" t="s">
        <v>14</v>
      </c>
      <c r="G5" s="10" t="s">
        <v>0</v>
      </c>
      <c r="H5" s="10" t="s">
        <v>13</v>
      </c>
      <c r="I5" s="10" t="s">
        <v>0</v>
      </c>
      <c r="J5" s="10" t="s">
        <v>13</v>
      </c>
      <c r="K5" s="10" t="s">
        <v>15</v>
      </c>
      <c r="L5" s="3"/>
      <c r="M5" s="12" t="s">
        <v>16</v>
      </c>
      <c r="N5" s="13">
        <v>46469</v>
      </c>
      <c r="O5" s="13">
        <f>N5</f>
        <v>46469</v>
      </c>
      <c r="P5" s="14">
        <v>6640</v>
      </c>
      <c r="Q5" s="15"/>
      <c r="R5" s="3"/>
    </row>
    <row r="6" spans="1:18" ht="14.15" customHeight="1" x14ac:dyDescent="0.35">
      <c r="A6" s="3"/>
      <c r="B6" s="16" t="s">
        <v>17</v>
      </c>
      <c r="C6" s="17" t="s">
        <v>18</v>
      </c>
      <c r="D6" s="18">
        <v>5981.82</v>
      </c>
      <c r="E6" s="19">
        <f t="shared" ref="E6:E14" si="0">D6</f>
        <v>5981.82</v>
      </c>
      <c r="F6" s="20">
        <v>2.54</v>
      </c>
      <c r="G6" s="21">
        <f t="shared" ref="G6:G14" si="1">E6*F6</f>
        <v>15193.8228</v>
      </c>
      <c r="H6" s="20">
        <f t="shared" ref="H6:H14" si="2">E6*F6</f>
        <v>15193.8228</v>
      </c>
      <c r="I6" s="22">
        <f>IF($N$9=0,0,D6/$N$9*1000)</f>
        <v>5.4840442697255503</v>
      </c>
      <c r="J6" s="22">
        <f>IF($O$9=0,0,E6/$O$9*1000)</f>
        <v>5.4840442697255503</v>
      </c>
      <c r="K6" s="23">
        <v>9.8000000000000007</v>
      </c>
      <c r="L6" s="3"/>
      <c r="M6" s="24" t="s">
        <v>19</v>
      </c>
      <c r="N6" s="25"/>
      <c r="O6" s="25">
        <f>N6</f>
        <v>0</v>
      </c>
      <c r="P6" s="26"/>
      <c r="R6" s="3"/>
    </row>
    <row r="7" spans="1:18" ht="14.15" customHeight="1" x14ac:dyDescent="0.35">
      <c r="A7" s="3"/>
      <c r="B7" s="27" t="s">
        <v>20</v>
      </c>
      <c r="C7" s="28" t="s">
        <v>18</v>
      </c>
      <c r="D7" s="29">
        <v>30</v>
      </c>
      <c r="E7" s="19">
        <f t="shared" si="0"/>
        <v>30</v>
      </c>
      <c r="F7" s="20">
        <v>599</v>
      </c>
      <c r="G7" s="20">
        <f t="shared" si="1"/>
        <v>17970</v>
      </c>
      <c r="H7" s="20">
        <f t="shared" si="2"/>
        <v>17970</v>
      </c>
      <c r="I7" s="30">
        <f t="shared" ref="I7:I14" si="3">IF($N$9=0,0,D7/$N$9*1000)*1000</f>
        <v>27.503557126721724</v>
      </c>
      <c r="J7" s="30">
        <f t="shared" ref="J7:J14" si="4">IF($O$9=0,0,E7/$O$9*1000)*1000</f>
        <v>27.503557126721724</v>
      </c>
      <c r="K7" s="23">
        <v>6.8</v>
      </c>
      <c r="L7" s="3"/>
      <c r="M7" s="24" t="s">
        <v>21</v>
      </c>
      <c r="N7" s="25"/>
      <c r="O7" s="25">
        <f>N7</f>
        <v>0</v>
      </c>
      <c r="P7" s="26"/>
      <c r="Q7" s="15"/>
      <c r="R7" s="3"/>
    </row>
    <row r="8" spans="1:18" ht="14.15" customHeight="1" x14ac:dyDescent="0.35">
      <c r="A8" s="3"/>
      <c r="B8" s="27" t="s">
        <v>22</v>
      </c>
      <c r="C8" s="28" t="s">
        <v>18</v>
      </c>
      <c r="D8" s="29">
        <v>1170</v>
      </c>
      <c r="E8" s="19">
        <f t="shared" si="0"/>
        <v>1170</v>
      </c>
      <c r="F8" s="20">
        <v>12.81</v>
      </c>
      <c r="G8" s="20">
        <f t="shared" si="1"/>
        <v>14987.7</v>
      </c>
      <c r="H8" s="20">
        <f t="shared" si="2"/>
        <v>14987.7</v>
      </c>
      <c r="I8" s="30">
        <f t="shared" si="3"/>
        <v>1072.6387279421472</v>
      </c>
      <c r="J8" s="30">
        <f t="shared" si="4"/>
        <v>1072.6387279421472</v>
      </c>
      <c r="K8" s="23">
        <v>400</v>
      </c>
      <c r="L8" s="3"/>
      <c r="M8" s="31" t="s">
        <v>23</v>
      </c>
      <c r="N8" s="32">
        <v>1090768</v>
      </c>
      <c r="O8" s="32">
        <f>N8</f>
        <v>1090768</v>
      </c>
      <c r="P8" s="33">
        <v>117223</v>
      </c>
      <c r="Q8" s="15"/>
      <c r="R8" s="3"/>
    </row>
    <row r="9" spans="1:18" ht="14.15" customHeight="1" x14ac:dyDescent="0.35">
      <c r="A9" s="3"/>
      <c r="B9" s="27" t="s">
        <v>24</v>
      </c>
      <c r="C9" s="28" t="s">
        <v>18</v>
      </c>
      <c r="D9" s="29">
        <v>122.21</v>
      </c>
      <c r="E9" s="19">
        <f t="shared" si="0"/>
        <v>122.21</v>
      </c>
      <c r="F9" s="20">
        <v>25.15</v>
      </c>
      <c r="G9" s="20">
        <f t="shared" si="1"/>
        <v>3073.5814999999998</v>
      </c>
      <c r="H9" s="20">
        <f t="shared" si="2"/>
        <v>3073.5814999999998</v>
      </c>
      <c r="I9" s="30">
        <f t="shared" si="3"/>
        <v>112.04032388188872</v>
      </c>
      <c r="J9" s="30">
        <f t="shared" si="4"/>
        <v>112.04032388188872</v>
      </c>
      <c r="K9" s="23">
        <v>200</v>
      </c>
      <c r="L9" s="3"/>
      <c r="M9" s="34" t="s">
        <v>25</v>
      </c>
      <c r="N9" s="35">
        <f>SUM(N7:N8)</f>
        <v>1090768</v>
      </c>
      <c r="O9" s="35">
        <f>SUM(O7:O8)</f>
        <v>1090768</v>
      </c>
      <c r="P9" s="36"/>
      <c r="Q9" s="37"/>
      <c r="R9" s="3"/>
    </row>
    <row r="10" spans="1:18" ht="14.15" customHeight="1" x14ac:dyDescent="0.35">
      <c r="A10" s="3"/>
      <c r="B10" s="27" t="s">
        <v>26</v>
      </c>
      <c r="C10" s="28" t="s">
        <v>18</v>
      </c>
      <c r="D10" s="29"/>
      <c r="E10" s="19">
        <f t="shared" si="0"/>
        <v>0</v>
      </c>
      <c r="F10" s="20">
        <v>10.98</v>
      </c>
      <c r="G10" s="20">
        <f t="shared" si="1"/>
        <v>0</v>
      </c>
      <c r="H10" s="20">
        <f t="shared" si="2"/>
        <v>0</v>
      </c>
      <c r="I10" s="30">
        <f t="shared" si="3"/>
        <v>0</v>
      </c>
      <c r="J10" s="30">
        <f t="shared" si="4"/>
        <v>0</v>
      </c>
      <c r="K10" s="23">
        <v>10</v>
      </c>
      <c r="L10" s="3"/>
      <c r="M10" s="38" t="s">
        <v>27</v>
      </c>
      <c r="N10" s="39">
        <f>SUM(N5:N6)</f>
        <v>46469</v>
      </c>
      <c r="O10" s="39">
        <f>SUM(O5:O6)</f>
        <v>46469</v>
      </c>
      <c r="P10" s="40"/>
      <c r="Q10" s="41"/>
      <c r="R10" s="3"/>
    </row>
    <row r="11" spans="1:18" ht="14.15" customHeight="1" x14ac:dyDescent="0.35">
      <c r="A11" s="3"/>
      <c r="B11" s="27" t="s">
        <v>28</v>
      </c>
      <c r="C11" s="28" t="s">
        <v>18</v>
      </c>
      <c r="D11" s="29">
        <v>2397.34</v>
      </c>
      <c r="E11" s="19">
        <f t="shared" si="0"/>
        <v>2397.34</v>
      </c>
      <c r="F11" s="20">
        <v>4.13</v>
      </c>
      <c r="G11" s="20">
        <f t="shared" si="1"/>
        <v>9901.0141999999996</v>
      </c>
      <c r="H11" s="20">
        <f t="shared" si="2"/>
        <v>9901.0141999999996</v>
      </c>
      <c r="I11" s="30">
        <f t="shared" si="3"/>
        <v>2197.8459214058353</v>
      </c>
      <c r="J11" s="30">
        <f t="shared" si="4"/>
        <v>2197.8459214058353</v>
      </c>
      <c r="K11" s="23"/>
      <c r="L11" s="3"/>
      <c r="R11" s="3"/>
    </row>
    <row r="12" spans="1:18" ht="14.15" customHeight="1" x14ac:dyDescent="0.35">
      <c r="A12" s="3"/>
      <c r="B12" s="27" t="s">
        <v>29</v>
      </c>
      <c r="C12" s="28" t="s">
        <v>18</v>
      </c>
      <c r="D12" s="29">
        <v>300</v>
      </c>
      <c r="E12" s="19">
        <f t="shared" si="0"/>
        <v>300</v>
      </c>
      <c r="F12" s="20">
        <v>5.83</v>
      </c>
      <c r="G12" s="20">
        <f t="shared" si="1"/>
        <v>1749</v>
      </c>
      <c r="H12" s="20">
        <f t="shared" si="2"/>
        <v>1749</v>
      </c>
      <c r="I12" s="30">
        <f t="shared" si="3"/>
        <v>275.03557126721722</v>
      </c>
      <c r="J12" s="30">
        <f t="shared" si="4"/>
        <v>275.03557126721722</v>
      </c>
      <c r="K12" s="23">
        <v>400</v>
      </c>
      <c r="L12" s="3"/>
      <c r="M12" s="42" t="s">
        <v>30</v>
      </c>
      <c r="N12" s="42"/>
      <c r="O12" s="42"/>
      <c r="P12" s="42"/>
      <c r="R12" s="3"/>
    </row>
    <row r="13" spans="1:18" ht="14.15" customHeight="1" x14ac:dyDescent="0.35">
      <c r="A13" s="3"/>
      <c r="B13" s="27" t="s">
        <v>31</v>
      </c>
      <c r="C13" s="28" t="s">
        <v>18</v>
      </c>
      <c r="D13" s="29"/>
      <c r="E13" s="19">
        <f t="shared" si="0"/>
        <v>0</v>
      </c>
      <c r="F13" s="20">
        <v>6</v>
      </c>
      <c r="G13" s="20">
        <f t="shared" si="1"/>
        <v>0</v>
      </c>
      <c r="H13" s="20">
        <f t="shared" si="2"/>
        <v>0</v>
      </c>
      <c r="I13" s="30">
        <f t="shared" si="3"/>
        <v>0</v>
      </c>
      <c r="J13" s="30">
        <f t="shared" si="4"/>
        <v>0</v>
      </c>
      <c r="K13" s="23">
        <v>500</v>
      </c>
      <c r="L13" s="3"/>
      <c r="M13" s="43" t="s">
        <v>32</v>
      </c>
      <c r="N13" s="44" t="s">
        <v>0</v>
      </c>
      <c r="O13" s="44" t="s">
        <v>33</v>
      </c>
      <c r="P13" s="44" t="s">
        <v>34</v>
      </c>
      <c r="R13" s="3"/>
    </row>
    <row r="14" spans="1:18" ht="14.15" customHeight="1" x14ac:dyDescent="0.35">
      <c r="A14" s="3"/>
      <c r="B14" s="45" t="s">
        <v>35</v>
      </c>
      <c r="C14" s="46" t="s">
        <v>36</v>
      </c>
      <c r="D14" s="47"/>
      <c r="E14" s="19">
        <f t="shared" si="0"/>
        <v>0</v>
      </c>
      <c r="F14" s="20">
        <v>425</v>
      </c>
      <c r="G14" s="20">
        <f t="shared" si="1"/>
        <v>0</v>
      </c>
      <c r="H14" s="20">
        <f t="shared" si="2"/>
        <v>0</v>
      </c>
      <c r="I14" s="30">
        <f t="shared" si="3"/>
        <v>0</v>
      </c>
      <c r="J14" s="30">
        <f t="shared" si="4"/>
        <v>0</v>
      </c>
      <c r="K14" s="23">
        <v>3</v>
      </c>
      <c r="L14" s="3"/>
      <c r="M14" s="43" t="s">
        <v>37</v>
      </c>
      <c r="N14" s="48">
        <v>19348.046999999999</v>
      </c>
      <c r="O14" s="48">
        <f>N14</f>
        <v>19348.046999999999</v>
      </c>
      <c r="P14" s="48">
        <v>6738.6620000000003</v>
      </c>
      <c r="R14" s="3"/>
    </row>
    <row r="15" spans="1:18" ht="12.75" customHeight="1" x14ac:dyDescent="0.35">
      <c r="A15" s="3"/>
      <c r="B15" s="3"/>
      <c r="C15" s="4"/>
      <c r="D15" s="3"/>
      <c r="E15" s="3"/>
      <c r="F15" s="3"/>
      <c r="G15" s="3"/>
      <c r="H15" s="3"/>
      <c r="I15" s="3"/>
      <c r="J15" s="3"/>
      <c r="K15" s="3"/>
      <c r="L15" s="3"/>
      <c r="M15" s="49" t="s">
        <v>38</v>
      </c>
      <c r="N15" s="50">
        <v>26096.293000000001</v>
      </c>
      <c r="O15" s="50">
        <f>N15</f>
        <v>26096.293000000001</v>
      </c>
      <c r="P15" s="50">
        <v>7356.3779999999997</v>
      </c>
      <c r="R15" s="3"/>
    </row>
    <row r="16" spans="1:18" ht="14.5" x14ac:dyDescent="0.35">
      <c r="A16" s="3"/>
      <c r="B16" s="6" t="s">
        <v>39</v>
      </c>
      <c r="C16" s="7"/>
      <c r="D16" s="6" t="s">
        <v>5</v>
      </c>
      <c r="E16" s="6"/>
      <c r="F16" s="133" t="s">
        <v>6</v>
      </c>
      <c r="G16" s="133"/>
      <c r="H16" s="133"/>
      <c r="I16" s="133" t="s">
        <v>40</v>
      </c>
      <c r="J16" s="133"/>
      <c r="K16" s="6"/>
      <c r="L16" s="51"/>
      <c r="M16" s="52" t="s">
        <v>41</v>
      </c>
      <c r="N16" s="53">
        <f>SUM(N14:N15)</f>
        <v>45444.34</v>
      </c>
      <c r="O16" s="53">
        <f>SUM(O14:O15)</f>
        <v>45444.34</v>
      </c>
      <c r="P16" s="54">
        <v>14095.04</v>
      </c>
      <c r="Q16" s="51"/>
      <c r="R16" s="3"/>
    </row>
    <row r="17" spans="1:19" ht="14.5" x14ac:dyDescent="0.35">
      <c r="A17" s="3"/>
      <c r="B17" s="10"/>
      <c r="C17" s="11"/>
      <c r="D17" s="10" t="s">
        <v>12</v>
      </c>
      <c r="E17" s="10" t="s">
        <v>13</v>
      </c>
      <c r="F17" s="10" t="s">
        <v>14</v>
      </c>
      <c r="G17" s="10" t="s">
        <v>0</v>
      </c>
      <c r="H17" s="10" t="s">
        <v>13</v>
      </c>
      <c r="I17" s="10" t="s">
        <v>0</v>
      </c>
      <c r="J17" s="10" t="s">
        <v>13</v>
      </c>
      <c r="K17" s="10" t="s">
        <v>15</v>
      </c>
      <c r="L17" s="3"/>
      <c r="Q17" s="3"/>
      <c r="R17" s="3"/>
    </row>
    <row r="18" spans="1:19" ht="14.15" customHeight="1" x14ac:dyDescent="0.35">
      <c r="A18" s="3"/>
      <c r="B18" s="16" t="s">
        <v>42</v>
      </c>
      <c r="C18" s="17" t="s">
        <v>18</v>
      </c>
      <c r="D18" s="18">
        <v>375</v>
      </c>
      <c r="E18" s="19">
        <f t="shared" ref="E18:E26" si="5">D18</f>
        <v>375</v>
      </c>
      <c r="F18" s="20">
        <v>21</v>
      </c>
      <c r="G18" s="20">
        <f t="shared" ref="G18:G26" si="6">D18*F18</f>
        <v>7875</v>
      </c>
      <c r="H18" s="20">
        <f t="shared" ref="H18:H26" si="7">E18*F18</f>
        <v>7875</v>
      </c>
      <c r="I18" s="30">
        <f t="shared" ref="I18:I26" si="8">IF($N$10=0,0,D18/$N$16*1000)</f>
        <v>8.2518527059695455</v>
      </c>
      <c r="J18" s="30">
        <f t="shared" ref="J18:J26" si="9">IF($O$10=0,0,E18/$O$16*1000)</f>
        <v>8.2518527059695455</v>
      </c>
      <c r="K18" s="55">
        <v>6.1</v>
      </c>
      <c r="L18" s="3"/>
      <c r="M18" s="56" t="s">
        <v>43</v>
      </c>
      <c r="N18" s="57" t="s">
        <v>0</v>
      </c>
      <c r="O18" s="57" t="s">
        <v>44</v>
      </c>
      <c r="Q18" s="3"/>
      <c r="R18" s="3"/>
    </row>
    <row r="19" spans="1:19" ht="14.15" customHeight="1" x14ac:dyDescent="0.35">
      <c r="A19" s="3"/>
      <c r="B19" s="27" t="s">
        <v>45</v>
      </c>
      <c r="C19" s="28" t="s">
        <v>18</v>
      </c>
      <c r="D19" s="29">
        <v>325</v>
      </c>
      <c r="E19" s="19">
        <f t="shared" si="5"/>
        <v>325</v>
      </c>
      <c r="F19" s="20">
        <v>15.63</v>
      </c>
      <c r="G19" s="20">
        <f t="shared" si="6"/>
        <v>5079.75</v>
      </c>
      <c r="H19" s="20">
        <f t="shared" si="7"/>
        <v>5079.75</v>
      </c>
      <c r="I19" s="30">
        <f t="shared" si="8"/>
        <v>7.1516056785069395</v>
      </c>
      <c r="J19" s="30">
        <f t="shared" si="9"/>
        <v>7.1516056785069395</v>
      </c>
      <c r="K19" s="55">
        <v>9</v>
      </c>
      <c r="L19" s="3"/>
      <c r="M19" s="43" t="s">
        <v>46</v>
      </c>
      <c r="N19" s="58">
        <f>SUM(G6:G14)</f>
        <v>62875.118500000004</v>
      </c>
      <c r="O19" s="58">
        <f>SUM(H6:H14)</f>
        <v>62875.118500000004</v>
      </c>
      <c r="Q19" s="3"/>
      <c r="R19" s="3"/>
    </row>
    <row r="20" spans="1:19" ht="14.15" customHeight="1" x14ac:dyDescent="0.35">
      <c r="A20" s="3"/>
      <c r="B20" s="27" t="s">
        <v>47</v>
      </c>
      <c r="C20" s="28" t="s">
        <v>18</v>
      </c>
      <c r="D20" s="29">
        <v>1000</v>
      </c>
      <c r="E20" s="19">
        <f t="shared" si="5"/>
        <v>1000</v>
      </c>
      <c r="F20" s="20">
        <v>6.7</v>
      </c>
      <c r="G20" s="20">
        <f t="shared" si="6"/>
        <v>6700</v>
      </c>
      <c r="H20" s="20">
        <f t="shared" si="7"/>
        <v>6700</v>
      </c>
      <c r="I20" s="30">
        <f t="shared" si="8"/>
        <v>22.004940549252119</v>
      </c>
      <c r="J20" s="30">
        <f t="shared" si="9"/>
        <v>22.004940549252119</v>
      </c>
      <c r="K20" s="55">
        <v>51</v>
      </c>
      <c r="L20" s="3"/>
      <c r="M20" s="43" t="s">
        <v>48</v>
      </c>
      <c r="N20" s="58">
        <f>SUM(G18:G26)</f>
        <v>68559.749500000005</v>
      </c>
      <c r="O20" s="58">
        <f>SUM(H18:H26)</f>
        <v>68559.749500000005</v>
      </c>
      <c r="Q20" s="3"/>
      <c r="R20" s="3"/>
    </row>
    <row r="21" spans="1:19" ht="14.15" customHeight="1" x14ac:dyDescent="0.35">
      <c r="A21" s="3"/>
      <c r="B21" s="27" t="s">
        <v>49</v>
      </c>
      <c r="C21" s="28" t="s">
        <v>18</v>
      </c>
      <c r="D21" s="29"/>
      <c r="E21" s="19">
        <f t="shared" si="5"/>
        <v>0</v>
      </c>
      <c r="F21" s="20">
        <v>5.85</v>
      </c>
      <c r="G21" s="20">
        <f t="shared" si="6"/>
        <v>0</v>
      </c>
      <c r="H21" s="20">
        <f t="shared" si="7"/>
        <v>0</v>
      </c>
      <c r="I21" s="30">
        <f t="shared" si="8"/>
        <v>0</v>
      </c>
      <c r="J21" s="30">
        <f t="shared" si="9"/>
        <v>0</v>
      </c>
      <c r="K21" s="55"/>
      <c r="L21" s="3"/>
      <c r="M21" s="43" t="s">
        <v>50</v>
      </c>
      <c r="N21" s="58">
        <f>SUM(G30:G36)</f>
        <v>6374.3122999999996</v>
      </c>
      <c r="O21" s="58">
        <f>SUM(H30:H36)</f>
        <v>6374.3122999999996</v>
      </c>
      <c r="Q21" s="3"/>
      <c r="R21" s="3"/>
    </row>
    <row r="22" spans="1:19" ht="14.15" customHeight="1" x14ac:dyDescent="0.35">
      <c r="A22" s="3"/>
      <c r="B22" s="27" t="s">
        <v>51</v>
      </c>
      <c r="C22" s="28" t="s">
        <v>18</v>
      </c>
      <c r="D22" s="29">
        <v>34000</v>
      </c>
      <c r="E22" s="19">
        <f t="shared" si="5"/>
        <v>34000</v>
      </c>
      <c r="F22" s="20">
        <v>1.03</v>
      </c>
      <c r="G22" s="20">
        <f t="shared" si="6"/>
        <v>35020</v>
      </c>
      <c r="H22" s="20">
        <f t="shared" si="7"/>
        <v>35020</v>
      </c>
      <c r="I22" s="30">
        <f t="shared" si="8"/>
        <v>748.16797867457205</v>
      </c>
      <c r="J22" s="30">
        <f t="shared" si="9"/>
        <v>748.16797867457205</v>
      </c>
      <c r="K22" s="55">
        <v>1000</v>
      </c>
      <c r="L22" s="3"/>
      <c r="M22" s="49" t="s">
        <v>52</v>
      </c>
      <c r="N22" s="59">
        <f>SUM(G40:G52)</f>
        <v>21763.174800000001</v>
      </c>
      <c r="O22" s="59">
        <f>SUM(H40:H52)</f>
        <v>21763.174800000001</v>
      </c>
      <c r="Q22" s="3"/>
      <c r="R22" s="3"/>
    </row>
    <row r="23" spans="1:19" ht="14.15" customHeight="1" x14ac:dyDescent="0.35">
      <c r="A23" s="3"/>
      <c r="B23" s="27" t="s">
        <v>29</v>
      </c>
      <c r="C23" s="28" t="s">
        <v>18</v>
      </c>
      <c r="D23" s="29">
        <v>575</v>
      </c>
      <c r="E23" s="19">
        <f t="shared" si="5"/>
        <v>575</v>
      </c>
      <c r="F23" s="20">
        <v>5.83</v>
      </c>
      <c r="G23" s="20">
        <f t="shared" si="6"/>
        <v>3352.25</v>
      </c>
      <c r="H23" s="20">
        <f t="shared" si="7"/>
        <v>3352.25</v>
      </c>
      <c r="I23" s="30">
        <f t="shared" si="8"/>
        <v>12.652840815819969</v>
      </c>
      <c r="J23" s="30">
        <f t="shared" si="9"/>
        <v>12.652840815819969</v>
      </c>
      <c r="K23" s="55">
        <v>13</v>
      </c>
      <c r="L23" s="3"/>
      <c r="M23" s="52" t="s">
        <v>53</v>
      </c>
      <c r="N23" s="60">
        <f>SUM(N19:N22)</f>
        <v>159572.35510000002</v>
      </c>
      <c r="O23" s="61">
        <f>SUM(O19:O22)</f>
        <v>159572.35510000002</v>
      </c>
      <c r="Q23" s="3"/>
      <c r="R23" s="3"/>
    </row>
    <row r="24" spans="1:19" ht="14.15" customHeight="1" x14ac:dyDescent="0.35">
      <c r="A24" s="3"/>
      <c r="B24" s="27" t="s">
        <v>54</v>
      </c>
      <c r="C24" s="28" t="s">
        <v>18</v>
      </c>
      <c r="D24" s="29">
        <v>427.05</v>
      </c>
      <c r="E24" s="19">
        <f t="shared" si="5"/>
        <v>427.05</v>
      </c>
      <c r="F24" s="20">
        <v>8</v>
      </c>
      <c r="G24" s="20">
        <f t="shared" si="6"/>
        <v>3416.4</v>
      </c>
      <c r="H24" s="20">
        <f t="shared" si="7"/>
        <v>3416.4</v>
      </c>
      <c r="I24" s="30">
        <f t="shared" si="8"/>
        <v>9.3972098615581192</v>
      </c>
      <c r="J24" s="30">
        <f t="shared" si="9"/>
        <v>9.3972098615581192</v>
      </c>
      <c r="K24" s="55">
        <v>2.8</v>
      </c>
      <c r="L24" s="3"/>
      <c r="P24" s="3"/>
      <c r="Q24" s="3"/>
      <c r="R24" s="3"/>
    </row>
    <row r="25" spans="1:19" ht="14.15" customHeight="1" x14ac:dyDescent="0.35">
      <c r="A25" s="3"/>
      <c r="B25" s="27" t="s">
        <v>55</v>
      </c>
      <c r="C25" s="28" t="s">
        <v>18</v>
      </c>
      <c r="D25" s="29">
        <v>1216.47</v>
      </c>
      <c r="E25" s="19">
        <f t="shared" si="5"/>
        <v>1216.47</v>
      </c>
      <c r="F25" s="20">
        <v>5.85</v>
      </c>
      <c r="G25" s="20">
        <f t="shared" si="6"/>
        <v>7116.3494999999994</v>
      </c>
      <c r="H25" s="20">
        <f t="shared" si="7"/>
        <v>7116.3494999999994</v>
      </c>
      <c r="I25" s="30">
        <f t="shared" si="8"/>
        <v>26.768350029948728</v>
      </c>
      <c r="J25" s="30">
        <f t="shared" si="9"/>
        <v>26.768350029948728</v>
      </c>
      <c r="K25" s="55">
        <v>28</v>
      </c>
      <c r="L25" s="3"/>
      <c r="M25" s="42" t="s">
        <v>56</v>
      </c>
      <c r="N25" s="42" t="s">
        <v>9</v>
      </c>
      <c r="O25" s="42"/>
      <c r="P25" s="42" t="s">
        <v>57</v>
      </c>
      <c r="Q25" s="42"/>
      <c r="R25" s="3"/>
    </row>
    <row r="26" spans="1:19" ht="14.15" customHeight="1" x14ac:dyDescent="0.35">
      <c r="A26" s="3"/>
      <c r="B26" s="45" t="s">
        <v>58</v>
      </c>
      <c r="C26" s="46" t="s">
        <v>36</v>
      </c>
      <c r="D26" s="62"/>
      <c r="E26" s="19">
        <f t="shared" si="5"/>
        <v>0</v>
      </c>
      <c r="F26" s="20">
        <v>6.98</v>
      </c>
      <c r="G26" s="20">
        <f t="shared" si="6"/>
        <v>0</v>
      </c>
      <c r="H26" s="20">
        <f t="shared" si="7"/>
        <v>0</v>
      </c>
      <c r="I26" s="30">
        <f t="shared" si="8"/>
        <v>0</v>
      </c>
      <c r="J26" s="30">
        <f t="shared" si="9"/>
        <v>0</v>
      </c>
      <c r="K26" s="55">
        <v>21.3</v>
      </c>
      <c r="L26" s="3"/>
      <c r="M26" s="63" t="s">
        <v>46</v>
      </c>
      <c r="N26" s="64">
        <f>IF($N$9=0,0,N19/$N$9*1000)</f>
        <v>57.642980450471597</v>
      </c>
      <c r="O26" s="65" t="s">
        <v>59</v>
      </c>
      <c r="P26" s="64">
        <f>IF($O$9=0,0,O19/$O$9*1000)</f>
        <v>57.642980450471597</v>
      </c>
      <c r="Q26" s="65" t="s">
        <v>59</v>
      </c>
      <c r="R26" s="3"/>
    </row>
    <row r="27" spans="1:19" ht="15" customHeight="1" x14ac:dyDescent="0.35">
      <c r="A27" s="3"/>
      <c r="L27" s="51"/>
      <c r="M27" s="63" t="s">
        <v>48</v>
      </c>
      <c r="N27" s="64">
        <f>IF($N$10=0,0,N20/$N$16)</f>
        <v>1.5086532118191178</v>
      </c>
      <c r="O27" s="65" t="s">
        <v>60</v>
      </c>
      <c r="P27" s="64">
        <f>IF($O$10=0,0,O20/$O$16)</f>
        <v>1.5086532118191178</v>
      </c>
      <c r="Q27" s="65" t="s">
        <v>61</v>
      </c>
    </row>
    <row r="28" spans="1:19" ht="14.5" x14ac:dyDescent="0.35">
      <c r="A28" s="3"/>
      <c r="B28" s="6" t="s">
        <v>62</v>
      </c>
      <c r="C28" s="7"/>
      <c r="D28" s="6" t="s">
        <v>5</v>
      </c>
      <c r="E28" s="6"/>
      <c r="F28" s="6" t="s">
        <v>6</v>
      </c>
      <c r="G28" s="6"/>
      <c r="H28" s="6"/>
      <c r="I28" s="6" t="s">
        <v>40</v>
      </c>
      <c r="J28" s="6"/>
      <c r="K28" s="6"/>
      <c r="L28" s="3"/>
      <c r="M28" s="63" t="s">
        <v>50</v>
      </c>
      <c r="N28" s="64">
        <f>IF($N$16=0,0,N21/$N$16)</f>
        <v>0.14026636320386654</v>
      </c>
      <c r="O28" s="65" t="s">
        <v>60</v>
      </c>
      <c r="P28" s="64">
        <f>IF($O$16=0,0,O21/$O$16)</f>
        <v>0.14026636320386654</v>
      </c>
      <c r="Q28" s="65" t="s">
        <v>60</v>
      </c>
    </row>
    <row r="29" spans="1:19" ht="14.5" x14ac:dyDescent="0.35">
      <c r="A29" s="3"/>
      <c r="B29" s="10"/>
      <c r="C29" s="11"/>
      <c r="D29" s="10" t="s">
        <v>12</v>
      </c>
      <c r="E29" s="10" t="s">
        <v>13</v>
      </c>
      <c r="F29" s="10" t="s">
        <v>14</v>
      </c>
      <c r="G29" s="10" t="s">
        <v>0</v>
      </c>
      <c r="H29" s="10" t="s">
        <v>13</v>
      </c>
      <c r="I29" s="10" t="s">
        <v>0</v>
      </c>
      <c r="J29" s="10" t="s">
        <v>13</v>
      </c>
      <c r="K29" s="10" t="s">
        <v>15</v>
      </c>
      <c r="L29" s="3"/>
      <c r="M29" s="66" t="s">
        <v>52</v>
      </c>
      <c r="N29" s="67">
        <f>IF($N$16=0,0,N22/$N$16)</f>
        <v>0.47889736763698193</v>
      </c>
      <c r="O29" s="68" t="s">
        <v>60</v>
      </c>
      <c r="P29" s="67">
        <f>IF($O$16=0,0,O22/$O$16)</f>
        <v>0.47889736763698193</v>
      </c>
      <c r="Q29" s="68" t="s">
        <v>60</v>
      </c>
    </row>
    <row r="30" spans="1:19" ht="14.15" customHeight="1" x14ac:dyDescent="0.35">
      <c r="A30" s="3"/>
      <c r="B30" s="16" t="s">
        <v>63</v>
      </c>
      <c r="C30" s="17" t="s">
        <v>18</v>
      </c>
      <c r="D30" s="18"/>
      <c r="E30" s="19">
        <f t="shared" ref="E30:E36" si="10">D30</f>
        <v>0</v>
      </c>
      <c r="F30" s="20">
        <v>1.03</v>
      </c>
      <c r="G30" s="20">
        <f t="shared" ref="G30:G36" si="11">D30*F30</f>
        <v>0</v>
      </c>
      <c r="H30" s="20">
        <f t="shared" ref="H30:H36" si="12">E30*F30</f>
        <v>0</v>
      </c>
      <c r="I30" s="30">
        <f t="shared" ref="I30:I36" si="13">IF($N$16=0,0,D30/$N$16*1000)</f>
        <v>0</v>
      </c>
      <c r="J30" s="19">
        <f t="shared" ref="J30:J36" si="14">IF($O$16=0,0,E30/$O$16*1000)</f>
        <v>0</v>
      </c>
      <c r="K30" s="23">
        <v>0</v>
      </c>
      <c r="L30" s="3"/>
      <c r="M30" s="52" t="s">
        <v>64</v>
      </c>
      <c r="N30" s="69">
        <f>IF($O$16=0,0,O23/$O$16)</f>
        <v>3.5113801872796486</v>
      </c>
      <c r="O30" s="70" t="s">
        <v>60</v>
      </c>
      <c r="P30" s="69">
        <f>IF($O$16=0,0,O23/$O$16)</f>
        <v>3.5113801872796486</v>
      </c>
      <c r="Q30" s="71" t="s">
        <v>60</v>
      </c>
    </row>
    <row r="31" spans="1:19" ht="14.15" customHeight="1" x14ac:dyDescent="0.35">
      <c r="A31" s="3"/>
      <c r="B31" s="16" t="s">
        <v>29</v>
      </c>
      <c r="C31" s="28" t="s">
        <v>18</v>
      </c>
      <c r="D31" s="29">
        <v>25</v>
      </c>
      <c r="E31" s="19">
        <f t="shared" si="10"/>
        <v>25</v>
      </c>
      <c r="F31" s="20">
        <v>5.83</v>
      </c>
      <c r="G31" s="20">
        <f t="shared" si="11"/>
        <v>145.75</v>
      </c>
      <c r="H31" s="20">
        <f t="shared" si="12"/>
        <v>145.75</v>
      </c>
      <c r="I31" s="30">
        <f t="shared" si="13"/>
        <v>0.55012351373130297</v>
      </c>
      <c r="J31" s="19">
        <f t="shared" si="14"/>
        <v>0.55012351373130297</v>
      </c>
      <c r="K31" s="23">
        <v>1.5</v>
      </c>
      <c r="L31" s="3"/>
    </row>
    <row r="32" spans="1:19" ht="14.15" customHeight="1" x14ac:dyDescent="0.35">
      <c r="A32" s="3"/>
      <c r="B32" s="16" t="s">
        <v>65</v>
      </c>
      <c r="C32" s="28" t="s">
        <v>18</v>
      </c>
      <c r="D32" s="29">
        <v>611.77</v>
      </c>
      <c r="E32" s="19">
        <f t="shared" si="10"/>
        <v>611.77</v>
      </c>
      <c r="F32" s="20">
        <v>8.99</v>
      </c>
      <c r="G32" s="72">
        <f t="shared" si="11"/>
        <v>5499.8122999999996</v>
      </c>
      <c r="H32" s="20">
        <f t="shared" si="12"/>
        <v>5499.8122999999996</v>
      </c>
      <c r="I32" s="30">
        <f t="shared" si="13"/>
        <v>13.46196247981597</v>
      </c>
      <c r="J32" s="19">
        <f t="shared" si="14"/>
        <v>13.46196247981597</v>
      </c>
      <c r="K32" s="23">
        <v>8</v>
      </c>
      <c r="L32" s="3"/>
      <c r="M32" s="73"/>
      <c r="N32" s="73"/>
      <c r="O32" s="73"/>
      <c r="P32" s="73"/>
      <c r="Q32" s="73"/>
      <c r="R32" s="73"/>
      <c r="S32" s="73"/>
    </row>
    <row r="33" spans="1:19" ht="14.15" customHeight="1" x14ac:dyDescent="0.35">
      <c r="A33" s="3"/>
      <c r="B33" s="16" t="s">
        <v>66</v>
      </c>
      <c r="C33" s="28" t="s">
        <v>18</v>
      </c>
      <c r="D33" s="29"/>
      <c r="E33" s="19">
        <f t="shared" si="10"/>
        <v>0</v>
      </c>
      <c r="F33" s="20">
        <v>24</v>
      </c>
      <c r="G33" s="20">
        <f t="shared" si="11"/>
        <v>0</v>
      </c>
      <c r="H33" s="20">
        <f t="shared" si="12"/>
        <v>0</v>
      </c>
      <c r="I33" s="30">
        <f t="shared" si="13"/>
        <v>0</v>
      </c>
      <c r="J33" s="19">
        <f t="shared" si="14"/>
        <v>0</v>
      </c>
      <c r="K33" s="23">
        <v>0</v>
      </c>
      <c r="L33" s="3"/>
      <c r="M33" s="3"/>
      <c r="N33" s="3"/>
      <c r="O33" s="3"/>
      <c r="P33" s="3"/>
      <c r="Q33" s="3"/>
      <c r="R33" s="3"/>
      <c r="S33" s="73"/>
    </row>
    <row r="34" spans="1:19" ht="14.15" customHeight="1" x14ac:dyDescent="0.35">
      <c r="A34" s="3"/>
      <c r="B34" s="16" t="s">
        <v>67</v>
      </c>
      <c r="C34" s="28" t="s">
        <v>36</v>
      </c>
      <c r="D34" s="29">
        <v>50</v>
      </c>
      <c r="E34" s="19">
        <f t="shared" si="10"/>
        <v>50</v>
      </c>
      <c r="F34" s="20">
        <v>5.83</v>
      </c>
      <c r="G34" s="20">
        <f t="shared" si="11"/>
        <v>291.5</v>
      </c>
      <c r="H34" s="20">
        <f t="shared" si="12"/>
        <v>291.5</v>
      </c>
      <c r="I34" s="30">
        <f t="shared" si="13"/>
        <v>1.1002470274626059</v>
      </c>
      <c r="J34" s="19">
        <f t="shared" si="14"/>
        <v>1.1002470274626059</v>
      </c>
      <c r="K34" s="23">
        <v>2</v>
      </c>
      <c r="M34" s="73"/>
      <c r="N34" s="73"/>
      <c r="O34" s="73"/>
      <c r="P34" s="73"/>
      <c r="Q34" s="73"/>
      <c r="R34" s="3"/>
      <c r="S34" s="73"/>
    </row>
    <row r="35" spans="1:19" ht="14.15" customHeight="1" x14ac:dyDescent="0.35">
      <c r="A35" s="3"/>
      <c r="B35" s="16" t="s">
        <v>68</v>
      </c>
      <c r="C35" s="28" t="s">
        <v>18</v>
      </c>
      <c r="D35" s="19">
        <v>75</v>
      </c>
      <c r="E35" s="19">
        <f t="shared" si="10"/>
        <v>75</v>
      </c>
      <c r="F35" s="20">
        <v>5.83</v>
      </c>
      <c r="G35" s="20">
        <f t="shared" si="11"/>
        <v>437.25</v>
      </c>
      <c r="H35" s="20">
        <f t="shared" si="12"/>
        <v>437.25</v>
      </c>
      <c r="I35" s="30">
        <f t="shared" si="13"/>
        <v>1.6503705411939089</v>
      </c>
      <c r="J35" s="19">
        <f t="shared" si="14"/>
        <v>1.6503705411939089</v>
      </c>
      <c r="K35" s="23">
        <v>1</v>
      </c>
      <c r="L35" s="51"/>
      <c r="M35" s="3"/>
      <c r="N35" s="3"/>
      <c r="O35" s="3"/>
      <c r="P35" s="3"/>
      <c r="Q35" s="3"/>
      <c r="R35" s="3"/>
      <c r="S35" s="73"/>
    </row>
    <row r="36" spans="1:19" ht="14.15" customHeight="1" x14ac:dyDescent="0.35">
      <c r="A36" s="3"/>
      <c r="B36" s="16" t="s">
        <v>69</v>
      </c>
      <c r="C36" s="28" t="s">
        <v>18</v>
      </c>
      <c r="D36" s="19"/>
      <c r="E36" s="19">
        <f t="shared" si="10"/>
        <v>0</v>
      </c>
      <c r="F36" s="20">
        <v>5.83</v>
      </c>
      <c r="G36" s="20">
        <f t="shared" si="11"/>
        <v>0</v>
      </c>
      <c r="H36" s="20">
        <f t="shared" si="12"/>
        <v>0</v>
      </c>
      <c r="I36" s="30">
        <f t="shared" si="13"/>
        <v>0</v>
      </c>
      <c r="J36" s="19">
        <f t="shared" si="14"/>
        <v>0</v>
      </c>
      <c r="K36" s="23">
        <v>1</v>
      </c>
      <c r="L36" s="3"/>
      <c r="M36" s="3"/>
      <c r="N36" s="3"/>
      <c r="O36" s="3"/>
      <c r="P36" s="3"/>
      <c r="Q36" s="3"/>
      <c r="R36" s="3"/>
      <c r="S36" s="73"/>
    </row>
    <row r="37" spans="1:19" ht="5.25" customHeight="1" x14ac:dyDescent="0.35">
      <c r="A37" s="3"/>
      <c r="C37" s="1"/>
      <c r="L37" s="3"/>
      <c r="M37" s="3"/>
      <c r="N37" s="3"/>
      <c r="O37" s="3"/>
      <c r="P37" s="3"/>
      <c r="Q37" s="3"/>
      <c r="R37" s="3"/>
      <c r="S37" s="73"/>
    </row>
    <row r="38" spans="1:19" ht="15" customHeight="1" x14ac:dyDescent="0.35">
      <c r="A38" s="3"/>
      <c r="B38" s="6" t="s">
        <v>70</v>
      </c>
      <c r="C38" s="6"/>
      <c r="D38" s="6" t="s">
        <v>5</v>
      </c>
      <c r="E38" s="6"/>
      <c r="F38" s="6" t="s">
        <v>71</v>
      </c>
      <c r="G38" s="6"/>
      <c r="H38" s="6"/>
      <c r="I38" s="6" t="s">
        <v>72</v>
      </c>
      <c r="J38" s="6"/>
      <c r="K38" s="6"/>
      <c r="L38" s="3"/>
      <c r="M38" s="3"/>
      <c r="N38" s="3"/>
      <c r="O38" s="3"/>
      <c r="P38" s="3"/>
      <c r="Q38" s="3"/>
      <c r="R38" s="3"/>
      <c r="S38" s="73"/>
    </row>
    <row r="39" spans="1:19" ht="15" customHeight="1" x14ac:dyDescent="0.35">
      <c r="A39" s="3"/>
      <c r="B39" s="10"/>
      <c r="C39" s="11"/>
      <c r="D39" s="10" t="s">
        <v>12</v>
      </c>
      <c r="E39" s="10" t="s">
        <v>13</v>
      </c>
      <c r="F39" s="10" t="s">
        <v>14</v>
      </c>
      <c r="G39" s="10" t="s">
        <v>0</v>
      </c>
      <c r="H39" s="10" t="s">
        <v>13</v>
      </c>
      <c r="I39" s="10" t="s">
        <v>0</v>
      </c>
      <c r="J39" s="10" t="s">
        <v>13</v>
      </c>
      <c r="K39" s="10" t="s">
        <v>15</v>
      </c>
      <c r="L39" s="3"/>
      <c r="M39" s="3"/>
      <c r="N39" s="3"/>
      <c r="O39" s="3"/>
      <c r="P39" s="3"/>
      <c r="Q39" s="3"/>
      <c r="R39" s="3"/>
      <c r="S39" s="73"/>
    </row>
    <row r="40" spans="1:19" ht="14.15" customHeight="1" x14ac:dyDescent="0.35">
      <c r="A40" s="3"/>
      <c r="B40" s="16" t="s">
        <v>29</v>
      </c>
      <c r="C40" s="17" t="s">
        <v>18</v>
      </c>
      <c r="D40" s="18">
        <v>500</v>
      </c>
      <c r="E40" s="19">
        <f t="shared" ref="E40:E51" si="15">D40</f>
        <v>500</v>
      </c>
      <c r="F40" s="20">
        <v>5.83</v>
      </c>
      <c r="G40" s="20">
        <f t="shared" ref="G40:G52" si="16">D40*F40</f>
        <v>2915</v>
      </c>
      <c r="H40" s="20">
        <f t="shared" ref="H40:H52" si="17">E40*F40</f>
        <v>2915</v>
      </c>
      <c r="I40" s="30">
        <f t="shared" ref="I40:I52" si="18">IF($N$16=0,0,D40/$N$16*1000)</f>
        <v>11.002470274626059</v>
      </c>
      <c r="J40" s="19">
        <f t="shared" ref="J40:J52" si="19">IF($O$16=0,0,E40/$O$16*1000)</f>
        <v>11.002470274626059</v>
      </c>
      <c r="K40" s="55">
        <v>6</v>
      </c>
      <c r="L40" s="3"/>
      <c r="M40" s="3"/>
      <c r="N40" s="3"/>
      <c r="O40" s="3"/>
      <c r="P40" s="3"/>
      <c r="Q40" s="3"/>
      <c r="R40" s="3"/>
      <c r="S40" s="73"/>
    </row>
    <row r="41" spans="1:19" ht="14.15" customHeight="1" x14ac:dyDescent="0.35">
      <c r="A41" s="3"/>
      <c r="B41" s="27" t="s">
        <v>73</v>
      </c>
      <c r="C41" s="28" t="s">
        <v>18</v>
      </c>
      <c r="D41" s="29">
        <v>250</v>
      </c>
      <c r="E41" s="19">
        <f t="shared" si="15"/>
        <v>250</v>
      </c>
      <c r="F41" s="20">
        <v>37.840000000000003</v>
      </c>
      <c r="G41" s="20">
        <f t="shared" si="16"/>
        <v>9460</v>
      </c>
      <c r="H41" s="20">
        <f t="shared" si="17"/>
        <v>9460</v>
      </c>
      <c r="I41" s="30">
        <f t="shared" si="18"/>
        <v>5.5012351373130297</v>
      </c>
      <c r="J41" s="19">
        <f t="shared" si="19"/>
        <v>5.5012351373130297</v>
      </c>
      <c r="K41" s="55">
        <v>3</v>
      </c>
      <c r="L41" s="3"/>
      <c r="M41" s="3"/>
      <c r="N41" s="3"/>
      <c r="O41" s="3"/>
      <c r="P41" s="3"/>
      <c r="Q41" s="3"/>
      <c r="R41" s="3"/>
      <c r="S41" s="73"/>
    </row>
    <row r="42" spans="1:19" ht="14.15" customHeight="1" x14ac:dyDescent="0.35">
      <c r="A42" s="3"/>
      <c r="B42" s="27" t="s">
        <v>74</v>
      </c>
      <c r="C42" s="28" t="s">
        <v>18</v>
      </c>
      <c r="D42" s="29">
        <v>38.5</v>
      </c>
      <c r="E42" s="19">
        <f t="shared" si="15"/>
        <v>38.5</v>
      </c>
      <c r="F42" s="20">
        <v>21</v>
      </c>
      <c r="G42" s="20">
        <f t="shared" si="16"/>
        <v>808.5</v>
      </c>
      <c r="H42" s="20">
        <f t="shared" si="17"/>
        <v>808.5</v>
      </c>
      <c r="I42" s="30">
        <f t="shared" si="18"/>
        <v>0.84719021114620663</v>
      </c>
      <c r="J42" s="19">
        <f t="shared" si="19"/>
        <v>0.84719021114620663</v>
      </c>
      <c r="K42" s="55">
        <v>0.35</v>
      </c>
      <c r="L42" s="3"/>
      <c r="M42" s="3"/>
      <c r="N42" s="3"/>
      <c r="O42" s="3"/>
      <c r="P42" s="3"/>
      <c r="Q42" s="3"/>
      <c r="R42" s="3"/>
      <c r="S42" s="73"/>
    </row>
    <row r="43" spans="1:19" ht="14.15" customHeight="1" x14ac:dyDescent="0.35">
      <c r="A43" s="3"/>
      <c r="B43" s="27" t="s">
        <v>75</v>
      </c>
      <c r="C43" s="28" t="s">
        <v>18</v>
      </c>
      <c r="D43" s="29">
        <v>645</v>
      </c>
      <c r="E43" s="19">
        <f t="shared" si="15"/>
        <v>645</v>
      </c>
      <c r="F43" s="20">
        <v>2.9</v>
      </c>
      <c r="G43" s="20">
        <f t="shared" si="16"/>
        <v>1870.5</v>
      </c>
      <c r="H43" s="20">
        <f t="shared" si="17"/>
        <v>1870.5</v>
      </c>
      <c r="I43" s="30">
        <f t="shared" si="18"/>
        <v>14.193186654267617</v>
      </c>
      <c r="J43" s="19">
        <f t="shared" si="19"/>
        <v>14.193186654267617</v>
      </c>
      <c r="K43" s="55">
        <v>7</v>
      </c>
      <c r="L43" s="3"/>
      <c r="M43" s="3"/>
      <c r="N43" s="3"/>
      <c r="O43" s="3"/>
      <c r="P43" s="3"/>
      <c r="Q43" s="3"/>
      <c r="R43" s="3"/>
      <c r="S43" s="73"/>
    </row>
    <row r="44" spans="1:19" ht="14.15" customHeight="1" x14ac:dyDescent="0.35">
      <c r="A44" s="3"/>
      <c r="B44" s="27" t="s">
        <v>76</v>
      </c>
      <c r="C44" s="28" t="s">
        <v>18</v>
      </c>
      <c r="D44" s="29">
        <v>20</v>
      </c>
      <c r="E44" s="19">
        <f t="shared" si="15"/>
        <v>20</v>
      </c>
      <c r="F44" s="20">
        <v>24</v>
      </c>
      <c r="G44" s="20">
        <f t="shared" si="16"/>
        <v>480</v>
      </c>
      <c r="H44" s="20">
        <f t="shared" si="17"/>
        <v>480</v>
      </c>
      <c r="I44" s="30">
        <f t="shared" si="18"/>
        <v>0.44009881098504239</v>
      </c>
      <c r="J44" s="19">
        <f t="shared" si="19"/>
        <v>0.44009881098504239</v>
      </c>
      <c r="K44" s="55">
        <v>0.3</v>
      </c>
      <c r="L44" s="3"/>
      <c r="M44" s="3"/>
      <c r="N44" s="3"/>
      <c r="O44" s="3"/>
      <c r="P44" s="3"/>
      <c r="Q44" s="3"/>
      <c r="R44" s="3"/>
      <c r="S44" s="73"/>
    </row>
    <row r="45" spans="1:19" ht="14.15" customHeight="1" x14ac:dyDescent="0.35">
      <c r="B45" s="27" t="s">
        <v>77</v>
      </c>
      <c r="C45" s="28" t="s">
        <v>18</v>
      </c>
      <c r="D45" s="29">
        <v>2011.4</v>
      </c>
      <c r="E45" s="19">
        <f t="shared" si="15"/>
        <v>2011.4</v>
      </c>
      <c r="F45" s="20">
        <v>0.64</v>
      </c>
      <c r="G45" s="20">
        <f t="shared" si="16"/>
        <v>1287.296</v>
      </c>
      <c r="H45" s="20">
        <f t="shared" si="17"/>
        <v>1287.296</v>
      </c>
      <c r="I45" s="30">
        <f t="shared" si="18"/>
        <v>44.260737420765714</v>
      </c>
      <c r="J45" s="19">
        <f t="shared" si="19"/>
        <v>44.260737420765714</v>
      </c>
      <c r="K45" s="55">
        <v>12</v>
      </c>
      <c r="M45" s="73"/>
      <c r="N45" s="73"/>
      <c r="O45" s="73"/>
      <c r="P45" s="73"/>
      <c r="Q45" s="73"/>
      <c r="R45" s="73"/>
      <c r="S45" s="73"/>
    </row>
    <row r="46" spans="1:19" ht="14.15" customHeight="1" x14ac:dyDescent="0.35">
      <c r="B46" s="27" t="s">
        <v>78</v>
      </c>
      <c r="C46" s="28" t="s">
        <v>18</v>
      </c>
      <c r="D46" s="29">
        <v>15</v>
      </c>
      <c r="E46" s="19">
        <f t="shared" si="15"/>
        <v>15</v>
      </c>
      <c r="F46" s="20">
        <v>24</v>
      </c>
      <c r="G46" s="20">
        <f t="shared" si="16"/>
        <v>360</v>
      </c>
      <c r="H46" s="20">
        <f t="shared" si="17"/>
        <v>360</v>
      </c>
      <c r="I46" s="30">
        <f t="shared" si="18"/>
        <v>0.3300741082387818</v>
      </c>
      <c r="J46" s="19">
        <f t="shared" si="19"/>
        <v>0.3300741082387818</v>
      </c>
      <c r="K46" s="55">
        <v>0.4</v>
      </c>
      <c r="M46" s="73"/>
      <c r="N46" s="73"/>
      <c r="O46" s="73"/>
      <c r="P46" s="73"/>
      <c r="Q46" s="73"/>
      <c r="R46" s="73"/>
      <c r="S46" s="73"/>
    </row>
    <row r="47" spans="1:19" ht="14.15" customHeight="1" x14ac:dyDescent="0.35">
      <c r="B47" s="27" t="s">
        <v>79</v>
      </c>
      <c r="C47" s="28" t="s">
        <v>18</v>
      </c>
      <c r="D47" s="29"/>
      <c r="E47" s="19">
        <f t="shared" si="15"/>
        <v>0</v>
      </c>
      <c r="F47" s="20">
        <v>41.96</v>
      </c>
      <c r="G47" s="20">
        <f t="shared" si="16"/>
        <v>0</v>
      </c>
      <c r="H47" s="20">
        <f t="shared" si="17"/>
        <v>0</v>
      </c>
      <c r="I47" s="30">
        <f t="shared" si="18"/>
        <v>0</v>
      </c>
      <c r="J47" s="19">
        <f t="shared" si="19"/>
        <v>0</v>
      </c>
      <c r="K47" s="55">
        <v>0.2</v>
      </c>
    </row>
    <row r="48" spans="1:19" ht="14.15" customHeight="1" x14ac:dyDescent="0.35">
      <c r="B48" s="27" t="s">
        <v>80</v>
      </c>
      <c r="C48" s="46" t="s">
        <v>18</v>
      </c>
      <c r="D48" s="29">
        <v>126.67</v>
      </c>
      <c r="E48" s="19">
        <f t="shared" si="15"/>
        <v>126.67</v>
      </c>
      <c r="F48" s="20">
        <v>23.51</v>
      </c>
      <c r="G48" s="20">
        <f t="shared" si="16"/>
        <v>2978.0117</v>
      </c>
      <c r="H48" s="20">
        <f t="shared" si="17"/>
        <v>2978.0117</v>
      </c>
      <c r="I48" s="30">
        <f t="shared" si="18"/>
        <v>2.787365819373766</v>
      </c>
      <c r="J48" s="19">
        <f t="shared" si="19"/>
        <v>2.787365819373766</v>
      </c>
      <c r="K48" s="55">
        <v>2</v>
      </c>
    </row>
    <row r="49" spans="2:11" ht="14.15" customHeight="1" x14ac:dyDescent="0.35">
      <c r="B49" s="27" t="s">
        <v>81</v>
      </c>
      <c r="C49" s="17" t="s">
        <v>18</v>
      </c>
      <c r="D49" s="29"/>
      <c r="E49" s="19">
        <f t="shared" si="15"/>
        <v>0</v>
      </c>
      <c r="F49" s="20">
        <v>41.96</v>
      </c>
      <c r="G49" s="20">
        <f t="shared" si="16"/>
        <v>0</v>
      </c>
      <c r="H49" s="20">
        <f t="shared" si="17"/>
        <v>0</v>
      </c>
      <c r="I49" s="30">
        <f t="shared" si="18"/>
        <v>0</v>
      </c>
      <c r="J49" s="19">
        <f t="shared" si="19"/>
        <v>0</v>
      </c>
      <c r="K49" s="55">
        <v>0.5</v>
      </c>
    </row>
    <row r="50" spans="2:11" ht="14.15" customHeight="1" x14ac:dyDescent="0.35">
      <c r="B50" s="45" t="s">
        <v>82</v>
      </c>
      <c r="C50" s="28" t="s">
        <v>18</v>
      </c>
      <c r="D50" s="29">
        <v>10.8</v>
      </c>
      <c r="E50" s="19">
        <f t="shared" si="15"/>
        <v>10.8</v>
      </c>
      <c r="F50" s="20">
        <v>43.43</v>
      </c>
      <c r="G50" s="20">
        <f t="shared" si="16"/>
        <v>469.04400000000004</v>
      </c>
      <c r="H50" s="20">
        <f t="shared" si="17"/>
        <v>469.04400000000004</v>
      </c>
      <c r="I50" s="30">
        <f t="shared" si="18"/>
        <v>0.23765335793192291</v>
      </c>
      <c r="J50" s="19">
        <f t="shared" si="19"/>
        <v>0.23765335793192291</v>
      </c>
      <c r="K50" s="55">
        <v>0.05</v>
      </c>
    </row>
    <row r="51" spans="2:11" ht="14.15" customHeight="1" x14ac:dyDescent="0.35">
      <c r="B51" s="74" t="s">
        <v>63</v>
      </c>
      <c r="C51" s="28" t="s">
        <v>18</v>
      </c>
      <c r="D51" s="75">
        <v>1101.77</v>
      </c>
      <c r="E51" s="19">
        <f t="shared" si="15"/>
        <v>1101.77</v>
      </c>
      <c r="F51" s="76">
        <v>1.03</v>
      </c>
      <c r="G51" s="20">
        <f t="shared" si="16"/>
        <v>1134.8231000000001</v>
      </c>
      <c r="H51" s="20">
        <f t="shared" si="17"/>
        <v>1134.8231000000001</v>
      </c>
      <c r="I51" s="30">
        <f t="shared" si="18"/>
        <v>24.244383348949505</v>
      </c>
      <c r="J51" s="19">
        <f t="shared" si="19"/>
        <v>24.244383348949505</v>
      </c>
      <c r="K51" s="55">
        <v>0</v>
      </c>
    </row>
    <row r="52" spans="2:11" ht="14.15" customHeight="1" x14ac:dyDescent="0.35">
      <c r="B52" s="74" t="s">
        <v>83</v>
      </c>
      <c r="C52" s="28"/>
      <c r="D52" s="75"/>
      <c r="E52" s="77"/>
      <c r="F52" s="76">
        <v>26.1</v>
      </c>
      <c r="G52" s="20">
        <f t="shared" si="16"/>
        <v>0</v>
      </c>
      <c r="H52" s="20">
        <f t="shared" si="17"/>
        <v>0</v>
      </c>
      <c r="I52" s="30">
        <f t="shared" si="18"/>
        <v>0</v>
      </c>
      <c r="J52" s="19">
        <f t="shared" si="19"/>
        <v>0</v>
      </c>
      <c r="K52" s="23">
        <v>2.5</v>
      </c>
    </row>
  </sheetData>
  <mergeCells count="7">
    <mergeCell ref="F16:H16"/>
    <mergeCell ref="I16:J16"/>
    <mergeCell ref="E2:P2"/>
    <mergeCell ref="C3:F3"/>
    <mergeCell ref="D4:E4"/>
    <mergeCell ref="F4:H4"/>
    <mergeCell ref="I4:J4"/>
  </mergeCells>
  <printOptions horizontalCentered="1" verticalCentered="1"/>
  <pageMargins left="0" right="0" top="0" bottom="0" header="0.511811023622047" footer="0.511811023622047"/>
  <pageSetup paperSize="9" scale="8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2"/>
  <sheetViews>
    <sheetView showGridLines="0" zoomScaleNormal="100" workbookViewId="0">
      <selection activeCell="F40" sqref="F40"/>
    </sheetView>
  </sheetViews>
  <sheetFormatPr defaultColWidth="9.1796875" defaultRowHeight="15" customHeight="1" x14ac:dyDescent="0.35"/>
  <cols>
    <col min="1" max="1" width="1.81640625" style="78" customWidth="1"/>
    <col min="2" max="2" width="21.54296875" style="78" customWidth="1"/>
    <col min="3" max="3" width="3.54296875" style="78" customWidth="1"/>
    <col min="4" max="4" width="10.453125" style="78" customWidth="1"/>
    <col min="5" max="5" width="7.7265625" style="78" customWidth="1"/>
    <col min="6" max="6" width="12" style="78" customWidth="1"/>
    <col min="7" max="7" width="9.453125" style="78" customWidth="1"/>
    <col min="8" max="8" width="9.81640625" style="78" customWidth="1"/>
    <col min="9" max="9" width="9.26953125" style="78" customWidth="1"/>
    <col min="10" max="10" width="7.54296875" style="78" customWidth="1"/>
    <col min="11" max="11" width="6.54296875" style="78" customWidth="1"/>
    <col min="12" max="12" width="5.453125" style="78" customWidth="1"/>
    <col min="13" max="13" width="22.7265625" style="78" customWidth="1"/>
    <col min="14" max="14" width="13.453125" style="78" customWidth="1"/>
    <col min="15" max="15" width="13.81640625" style="78" customWidth="1"/>
    <col min="16" max="16" width="13.54296875" style="78" customWidth="1"/>
    <col min="17" max="17" width="10.26953125" style="78" customWidth="1"/>
    <col min="18" max="1024" width="9.08984375" style="78"/>
  </cols>
  <sheetData>
    <row r="1" spans="1:18" ht="7.5" customHeight="1" x14ac:dyDescent="0.35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8" ht="20.25" customHeight="1" x14ac:dyDescent="0.35">
      <c r="A2" s="79"/>
      <c r="B2" s="80" t="s">
        <v>0</v>
      </c>
      <c r="C2" s="79"/>
      <c r="D2" s="79"/>
      <c r="E2" s="137" t="s">
        <v>84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79"/>
      <c r="R2" s="79"/>
    </row>
    <row r="3" spans="1:18" ht="10.5" customHeight="1" x14ac:dyDescent="0.35">
      <c r="A3" s="79"/>
      <c r="B3" s="81">
        <v>2</v>
      </c>
      <c r="C3" s="138" t="s">
        <v>85</v>
      </c>
      <c r="D3" s="138"/>
      <c r="E3" s="138"/>
      <c r="F3" s="138"/>
      <c r="G3" s="13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 spans="1:18" ht="14.5" x14ac:dyDescent="0.35">
      <c r="A4" s="79"/>
      <c r="B4" s="82" t="s">
        <v>3</v>
      </c>
      <c r="C4" s="82"/>
      <c r="D4" s="136" t="s">
        <v>5</v>
      </c>
      <c r="E4" s="136"/>
      <c r="F4" s="136" t="s">
        <v>6</v>
      </c>
      <c r="G4" s="136"/>
      <c r="H4" s="136"/>
      <c r="I4" s="136" t="s">
        <v>7</v>
      </c>
      <c r="J4" s="136"/>
      <c r="K4" s="82"/>
      <c r="L4" s="82"/>
      <c r="M4" s="82" t="s">
        <v>8</v>
      </c>
      <c r="N4" s="83" t="s">
        <v>9</v>
      </c>
      <c r="O4" s="83" t="s">
        <v>10</v>
      </c>
      <c r="P4" s="83" t="s">
        <v>11</v>
      </c>
      <c r="Q4" s="84"/>
      <c r="R4" s="79"/>
    </row>
    <row r="5" spans="1:18" ht="14.5" x14ac:dyDescent="0.35">
      <c r="A5" s="79"/>
      <c r="B5" s="10"/>
      <c r="C5" s="10"/>
      <c r="D5" s="10" t="s">
        <v>12</v>
      </c>
      <c r="E5" s="10" t="s">
        <v>13</v>
      </c>
      <c r="F5" s="10" t="s">
        <v>14</v>
      </c>
      <c r="G5" s="10" t="s">
        <v>0</v>
      </c>
      <c r="H5" s="10" t="s">
        <v>13</v>
      </c>
      <c r="I5" s="10" t="s">
        <v>0</v>
      </c>
      <c r="J5" s="10" t="s">
        <v>13</v>
      </c>
      <c r="K5" s="10" t="s">
        <v>15</v>
      </c>
      <c r="L5" s="79"/>
      <c r="M5" s="43" t="s">
        <v>16</v>
      </c>
      <c r="N5" s="85">
        <v>58909</v>
      </c>
      <c r="O5" s="86">
        <f>'semana 1'!O5+N5</f>
        <v>105378</v>
      </c>
      <c r="P5" s="85">
        <v>46285</v>
      </c>
      <c r="Q5" s="87"/>
      <c r="R5" s="79"/>
    </row>
    <row r="6" spans="1:18" ht="14.15" customHeight="1" x14ac:dyDescent="0.35">
      <c r="A6" s="79"/>
      <c r="B6" s="88" t="s">
        <v>17</v>
      </c>
      <c r="C6" s="89" t="s">
        <v>18</v>
      </c>
      <c r="D6" s="19">
        <v>19787.900000000001</v>
      </c>
      <c r="E6" s="77">
        <f>SUM('semana 1'!E6+D6)</f>
        <v>25769.72</v>
      </c>
      <c r="F6" s="20">
        <v>2.54</v>
      </c>
      <c r="G6" s="90">
        <f t="shared" ref="G6:G14" si="0">F6*D6</f>
        <v>50261.266000000003</v>
      </c>
      <c r="H6" s="90">
        <f>'semana 1'!H6+G6</f>
        <v>65455.088800000005</v>
      </c>
      <c r="I6" s="91">
        <f>IF($N$9=0,0,D6/$N$9*1000)</f>
        <v>8.235460102681575</v>
      </c>
      <c r="J6" s="30">
        <f t="shared" ref="J6:J14" si="1">IF($O$9=0,0,E6/$O$9*1000)*1000</f>
        <v>7376.4003004405859</v>
      </c>
      <c r="K6" s="23">
        <v>9.8000000000000007</v>
      </c>
      <c r="L6" s="79"/>
      <c r="M6" s="43" t="s">
        <v>19</v>
      </c>
      <c r="N6" s="85"/>
      <c r="O6" s="86">
        <f>'semana 1'!O6+N6</f>
        <v>0</v>
      </c>
      <c r="P6" s="85"/>
      <c r="R6" s="79"/>
    </row>
    <row r="7" spans="1:18" ht="14.15" customHeight="1" x14ac:dyDescent="0.35">
      <c r="A7" s="79"/>
      <c r="B7" s="74" t="s">
        <v>20</v>
      </c>
      <c r="C7" s="92" t="s">
        <v>18</v>
      </c>
      <c r="D7" s="19">
        <v>40</v>
      </c>
      <c r="E7" s="77">
        <f>SUM('semana 1'!E7+D7)</f>
        <v>70</v>
      </c>
      <c r="F7" s="20">
        <v>599</v>
      </c>
      <c r="G7" s="90">
        <f t="shared" si="0"/>
        <v>23960</v>
      </c>
      <c r="H7" s="90">
        <f>'semana 1'!H7+G7</f>
        <v>41930</v>
      </c>
      <c r="I7" s="93">
        <f t="shared" ref="I7:I14" si="2">IF($N$9=0,0,D7/$N$9*1000)*1000</f>
        <v>16.647466588534556</v>
      </c>
      <c r="J7" s="30">
        <f t="shared" si="1"/>
        <v>20.037005486704587</v>
      </c>
      <c r="K7" s="23">
        <v>6.8</v>
      </c>
      <c r="L7" s="79"/>
      <c r="M7" s="43" t="s">
        <v>21</v>
      </c>
      <c r="N7" s="85"/>
      <c r="O7" s="86">
        <f>'semana 1'!O7+N7</f>
        <v>0</v>
      </c>
      <c r="P7" s="85"/>
      <c r="Q7" s="87"/>
      <c r="R7" s="79"/>
    </row>
    <row r="8" spans="1:18" ht="14.15" customHeight="1" x14ac:dyDescent="0.35">
      <c r="A8" s="79"/>
      <c r="B8" s="74" t="s">
        <v>22</v>
      </c>
      <c r="C8" s="92" t="s">
        <v>18</v>
      </c>
      <c r="D8" s="19">
        <v>1870</v>
      </c>
      <c r="E8" s="77">
        <f>SUM('semana 1'!E8+D8)</f>
        <v>3040</v>
      </c>
      <c r="F8" s="20">
        <v>12.81</v>
      </c>
      <c r="G8" s="90">
        <f t="shared" si="0"/>
        <v>23954.7</v>
      </c>
      <c r="H8" s="90">
        <f>'semana 1'!H8+G8</f>
        <v>38942.400000000001</v>
      </c>
      <c r="I8" s="93">
        <f t="shared" si="2"/>
        <v>778.2690630139906</v>
      </c>
      <c r="J8" s="30">
        <f t="shared" si="1"/>
        <v>870.17852399402784</v>
      </c>
      <c r="K8" s="23">
        <v>400</v>
      </c>
      <c r="L8" s="79"/>
      <c r="M8" s="49" t="s">
        <v>23</v>
      </c>
      <c r="N8" s="94">
        <v>2402768</v>
      </c>
      <c r="O8" s="86">
        <f>'semana 1'!O8+N8</f>
        <v>3493536</v>
      </c>
      <c r="P8" s="94">
        <v>593721</v>
      </c>
      <c r="Q8" s="87"/>
      <c r="R8" s="79"/>
    </row>
    <row r="9" spans="1:18" ht="14.15" customHeight="1" x14ac:dyDescent="0.35">
      <c r="A9" s="79"/>
      <c r="B9" s="74" t="s">
        <v>24</v>
      </c>
      <c r="C9" s="92" t="s">
        <v>18</v>
      </c>
      <c r="D9" s="19">
        <v>684.1</v>
      </c>
      <c r="E9" s="77">
        <f>SUM('semana 1'!E9+D9)</f>
        <v>806.31000000000006</v>
      </c>
      <c r="F9" s="20">
        <v>25.15</v>
      </c>
      <c r="G9" s="90">
        <f t="shared" si="0"/>
        <v>17205.114999999998</v>
      </c>
      <c r="H9" s="90">
        <f>'semana 1'!H9+G9</f>
        <v>20278.696499999998</v>
      </c>
      <c r="I9" s="93">
        <f t="shared" si="2"/>
        <v>284.71329733041227</v>
      </c>
      <c r="J9" s="30">
        <f t="shared" si="1"/>
        <v>230.80054134263969</v>
      </c>
      <c r="K9" s="23">
        <v>200</v>
      </c>
      <c r="L9" s="79"/>
      <c r="M9" s="34" t="s">
        <v>25</v>
      </c>
      <c r="N9" s="95">
        <f>SUM(N7:N8)</f>
        <v>2402768</v>
      </c>
      <c r="O9" s="95">
        <f>SUM(O7:O8)</f>
        <v>3493536</v>
      </c>
      <c r="P9" s="96"/>
      <c r="Q9" s="97"/>
      <c r="R9" s="79"/>
    </row>
    <row r="10" spans="1:18" ht="14.15" customHeight="1" x14ac:dyDescent="0.35">
      <c r="A10" s="79"/>
      <c r="B10" s="74" t="s">
        <v>26</v>
      </c>
      <c r="C10" s="92" t="s">
        <v>18</v>
      </c>
      <c r="D10" s="19"/>
      <c r="E10" s="77">
        <f>SUM('semana 1'!E10+D10)</f>
        <v>0</v>
      </c>
      <c r="F10" s="20">
        <v>10.98</v>
      </c>
      <c r="G10" s="90">
        <f t="shared" si="0"/>
        <v>0</v>
      </c>
      <c r="H10" s="90">
        <f>'semana 1'!H10+G10</f>
        <v>0</v>
      </c>
      <c r="I10" s="93">
        <f t="shared" si="2"/>
        <v>0</v>
      </c>
      <c r="J10" s="30">
        <f t="shared" si="1"/>
        <v>0</v>
      </c>
      <c r="K10" s="23">
        <v>10</v>
      </c>
      <c r="L10" s="79"/>
      <c r="M10" s="38" t="s">
        <v>27</v>
      </c>
      <c r="N10" s="98">
        <f>SUM(N5:N6)</f>
        <v>58909</v>
      </c>
      <c r="O10" s="98">
        <f>SUM(O5:O6)</f>
        <v>105378</v>
      </c>
      <c r="P10" s="99"/>
      <c r="Q10" s="100"/>
      <c r="R10" s="79"/>
    </row>
    <row r="11" spans="1:18" ht="14.15" customHeight="1" x14ac:dyDescent="0.35">
      <c r="A11" s="79"/>
      <c r="B11" s="74" t="s">
        <v>28</v>
      </c>
      <c r="C11" s="92" t="s">
        <v>18</v>
      </c>
      <c r="D11" s="19">
        <v>256</v>
      </c>
      <c r="E11" s="77">
        <f>SUM('semana 1'!E11+D11)</f>
        <v>2653.34</v>
      </c>
      <c r="F11" s="20">
        <v>4.13</v>
      </c>
      <c r="G11" s="90">
        <f t="shared" si="0"/>
        <v>1057.28</v>
      </c>
      <c r="H11" s="90">
        <f>'semana 1'!H11+G11</f>
        <v>10958.2942</v>
      </c>
      <c r="I11" s="93">
        <f t="shared" si="2"/>
        <v>106.54378616662116</v>
      </c>
      <c r="J11" s="30">
        <f t="shared" si="1"/>
        <v>759.49983054418226</v>
      </c>
      <c r="K11" s="23"/>
      <c r="L11" s="79"/>
      <c r="R11" s="79"/>
    </row>
    <row r="12" spans="1:18" ht="14.15" customHeight="1" x14ac:dyDescent="0.35">
      <c r="A12" s="79"/>
      <c r="B12" s="74" t="s">
        <v>29</v>
      </c>
      <c r="C12" s="92" t="s">
        <v>18</v>
      </c>
      <c r="D12" s="19">
        <v>1200</v>
      </c>
      <c r="E12" s="77">
        <f>SUM('semana 1'!E12+D12)</f>
        <v>1500</v>
      </c>
      <c r="F12" s="20">
        <v>5.83</v>
      </c>
      <c r="G12" s="90">
        <f t="shared" si="0"/>
        <v>6996</v>
      </c>
      <c r="H12" s="90">
        <f>'semana 1'!H12+G12</f>
        <v>8745</v>
      </c>
      <c r="I12" s="93">
        <f t="shared" si="2"/>
        <v>499.4239976560367</v>
      </c>
      <c r="J12" s="30">
        <f t="shared" si="1"/>
        <v>429.36440328652691</v>
      </c>
      <c r="K12" s="23">
        <v>400</v>
      </c>
      <c r="L12" s="79"/>
      <c r="M12" s="56" t="s">
        <v>30</v>
      </c>
      <c r="N12" s="101"/>
      <c r="O12" s="101"/>
      <c r="P12" s="101"/>
      <c r="R12" s="79"/>
    </row>
    <row r="13" spans="1:18" ht="14.15" customHeight="1" x14ac:dyDescent="0.35">
      <c r="A13" s="79"/>
      <c r="B13" s="74" t="s">
        <v>31</v>
      </c>
      <c r="C13" s="92" t="s">
        <v>18</v>
      </c>
      <c r="D13" s="19">
        <v>290.01</v>
      </c>
      <c r="E13" s="77">
        <f>SUM('semana 1'!E13+D13)</f>
        <v>290.01</v>
      </c>
      <c r="F13" s="20">
        <v>6</v>
      </c>
      <c r="G13" s="90">
        <f t="shared" si="0"/>
        <v>1740.06</v>
      </c>
      <c r="H13" s="90">
        <f>'semana 1'!H13+G13</f>
        <v>1740.06</v>
      </c>
      <c r="I13" s="93">
        <f t="shared" si="2"/>
        <v>120.69829463352268</v>
      </c>
      <c r="J13" s="30">
        <f t="shared" si="1"/>
        <v>83.013313731417114</v>
      </c>
      <c r="K13" s="23">
        <v>500</v>
      </c>
      <c r="L13" s="79"/>
      <c r="M13" s="43" t="s">
        <v>32</v>
      </c>
      <c r="N13" s="44" t="s">
        <v>0</v>
      </c>
      <c r="O13" s="44" t="s">
        <v>33</v>
      </c>
      <c r="P13" s="44" t="s">
        <v>34</v>
      </c>
      <c r="R13" s="79"/>
    </row>
    <row r="14" spans="1:18" ht="14.15" customHeight="1" x14ac:dyDescent="0.35">
      <c r="A14" s="79"/>
      <c r="B14" s="102" t="s">
        <v>35</v>
      </c>
      <c r="C14" s="103" t="s">
        <v>18</v>
      </c>
      <c r="D14" s="19">
        <v>15</v>
      </c>
      <c r="E14" s="77">
        <f>SUM('semana 1'!E14+D14)</f>
        <v>15</v>
      </c>
      <c r="F14" s="20">
        <v>425</v>
      </c>
      <c r="G14" s="90">
        <f t="shared" si="0"/>
        <v>6375</v>
      </c>
      <c r="H14" s="90">
        <f>'semana 1'!H14+G14</f>
        <v>6375</v>
      </c>
      <c r="I14" s="93">
        <f t="shared" si="2"/>
        <v>6.2427999707004584</v>
      </c>
      <c r="J14" s="30">
        <f t="shared" si="1"/>
        <v>4.2936440328652692</v>
      </c>
      <c r="K14" s="23">
        <v>3</v>
      </c>
      <c r="L14" s="79"/>
      <c r="M14" s="43" t="s">
        <v>37</v>
      </c>
      <c r="N14" s="104">
        <v>32779.661</v>
      </c>
      <c r="O14" s="105">
        <f>'semana 1'!O14+'semana 2'!N14</f>
        <v>52127.707999999999</v>
      </c>
      <c r="P14" s="106">
        <v>17596.294000000002</v>
      </c>
      <c r="R14" s="79"/>
    </row>
    <row r="15" spans="1:18" ht="14.5" x14ac:dyDescent="0.3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49" t="s">
        <v>38</v>
      </c>
      <c r="N15" s="107">
        <v>24180.938999999998</v>
      </c>
      <c r="O15" s="105">
        <f>'semana 1'!O15+'semana 2'!N15</f>
        <v>50277.232000000004</v>
      </c>
      <c r="P15" s="107">
        <v>32677.166000000001</v>
      </c>
      <c r="R15" s="79"/>
    </row>
    <row r="16" spans="1:18" ht="14.5" x14ac:dyDescent="0.35">
      <c r="A16" s="79"/>
      <c r="B16" s="82" t="s">
        <v>39</v>
      </c>
      <c r="C16" s="82"/>
      <c r="D16" s="82" t="s">
        <v>5</v>
      </c>
      <c r="E16" s="82"/>
      <c r="F16" s="136" t="s">
        <v>6</v>
      </c>
      <c r="G16" s="136"/>
      <c r="H16" s="136"/>
      <c r="I16" s="136" t="s">
        <v>40</v>
      </c>
      <c r="J16" s="136"/>
      <c r="K16" s="82"/>
      <c r="L16" s="108"/>
      <c r="M16" s="52" t="s">
        <v>41</v>
      </c>
      <c r="N16" s="109">
        <f>SUM(N14:N15)</f>
        <v>56960.6</v>
      </c>
      <c r="O16" s="109">
        <f>SUM(O14:O15)</f>
        <v>102404.94</v>
      </c>
      <c r="P16" s="110">
        <f>P15+P14</f>
        <v>50273.460000000006</v>
      </c>
      <c r="Q16" s="108"/>
      <c r="R16" s="79"/>
    </row>
    <row r="17" spans="1:18" ht="14.5" x14ac:dyDescent="0.35">
      <c r="A17" s="79"/>
      <c r="B17" s="10"/>
      <c r="C17" s="10"/>
      <c r="D17" s="10" t="s">
        <v>12</v>
      </c>
      <c r="E17" s="10" t="s">
        <v>13</v>
      </c>
      <c r="F17" s="10" t="s">
        <v>14</v>
      </c>
      <c r="G17" s="10" t="s">
        <v>0</v>
      </c>
      <c r="H17" s="10" t="s">
        <v>13</v>
      </c>
      <c r="I17" s="10" t="s">
        <v>0</v>
      </c>
      <c r="J17" s="10" t="s">
        <v>13</v>
      </c>
      <c r="K17" s="10" t="s">
        <v>15</v>
      </c>
      <c r="L17" s="79"/>
      <c r="Q17" s="79"/>
      <c r="R17" s="79"/>
    </row>
    <row r="18" spans="1:18" ht="14.15" customHeight="1" x14ac:dyDescent="0.35">
      <c r="A18" s="79"/>
      <c r="B18" s="88" t="s">
        <v>42</v>
      </c>
      <c r="C18" s="89" t="s">
        <v>18</v>
      </c>
      <c r="D18" s="19">
        <v>350</v>
      </c>
      <c r="E18" s="77">
        <f>'semana 1'!E18+D18</f>
        <v>725</v>
      </c>
      <c r="F18" s="20">
        <v>21</v>
      </c>
      <c r="G18" s="90">
        <f t="shared" ref="G18:G27" si="3">D18*F18</f>
        <v>7350</v>
      </c>
      <c r="H18" s="90">
        <f>'semana 1'!H18+G18</f>
        <v>15225</v>
      </c>
      <c r="I18" s="91">
        <f t="shared" ref="I18:I27" si="4">IF($N$10=0,0,D18/$N$16*1000)</f>
        <v>6.1445981959459699</v>
      </c>
      <c r="J18" s="91">
        <f t="shared" ref="J18:J27" si="5">IF($O$10=0,0,E18/$O$16*1000)</f>
        <v>7.0797365830203116</v>
      </c>
      <c r="K18" s="55">
        <v>6.1</v>
      </c>
      <c r="L18" s="79"/>
      <c r="M18" s="56" t="s">
        <v>43</v>
      </c>
      <c r="N18" s="57" t="s">
        <v>0</v>
      </c>
      <c r="O18" s="57" t="s">
        <v>34</v>
      </c>
      <c r="Q18" s="79"/>
      <c r="R18" s="79"/>
    </row>
    <row r="19" spans="1:18" ht="14.15" customHeight="1" x14ac:dyDescent="0.35">
      <c r="A19" s="79"/>
      <c r="B19" s="74" t="s">
        <v>45</v>
      </c>
      <c r="C19" s="92" t="s">
        <v>18</v>
      </c>
      <c r="D19" s="19">
        <v>350</v>
      </c>
      <c r="E19" s="77">
        <f>'semana 1'!E19+D19</f>
        <v>675</v>
      </c>
      <c r="F19" s="20">
        <v>15.63</v>
      </c>
      <c r="G19" s="90">
        <f t="shared" si="3"/>
        <v>5470.5</v>
      </c>
      <c r="H19" s="90">
        <f>'semana 1'!H19+G19</f>
        <v>10550.25</v>
      </c>
      <c r="I19" s="91">
        <f t="shared" si="4"/>
        <v>6.1445981959459699</v>
      </c>
      <c r="J19" s="91">
        <f t="shared" si="5"/>
        <v>6.5914788876396004</v>
      </c>
      <c r="K19" s="55">
        <v>9</v>
      </c>
      <c r="L19" s="79"/>
      <c r="M19" s="43" t="s">
        <v>46</v>
      </c>
      <c r="N19" s="58">
        <f>SUM(G6:G14)</f>
        <v>131549.421</v>
      </c>
      <c r="O19" s="58">
        <f>SUM(H6:H14)</f>
        <v>194424.53949999998</v>
      </c>
      <c r="Q19" s="79"/>
      <c r="R19" s="79"/>
    </row>
    <row r="20" spans="1:18" ht="14.15" customHeight="1" x14ac:dyDescent="0.35">
      <c r="A20" s="79"/>
      <c r="B20" s="74" t="s">
        <v>47</v>
      </c>
      <c r="C20" s="92" t="s">
        <v>18</v>
      </c>
      <c r="D20" s="19"/>
      <c r="E20" s="77">
        <f>'semana 1'!E20+D20</f>
        <v>1000</v>
      </c>
      <c r="F20" s="20">
        <v>6.7</v>
      </c>
      <c r="G20" s="90">
        <f t="shared" si="3"/>
        <v>0</v>
      </c>
      <c r="H20" s="90">
        <f>'semana 1'!H20+G20</f>
        <v>6700</v>
      </c>
      <c r="I20" s="91">
        <f t="shared" si="4"/>
        <v>0</v>
      </c>
      <c r="J20" s="91">
        <f t="shared" si="5"/>
        <v>9.7651539076142218</v>
      </c>
      <c r="K20" s="55">
        <v>51</v>
      </c>
      <c r="L20" s="79"/>
      <c r="M20" s="43" t="s">
        <v>48</v>
      </c>
      <c r="N20" s="58">
        <f>SUM(G18:G27)</f>
        <v>69084.745999999999</v>
      </c>
      <c r="O20" s="111">
        <f>SUM(H18:H27)</f>
        <v>137644.49550000002</v>
      </c>
      <c r="Q20" s="79"/>
      <c r="R20" s="79"/>
    </row>
    <row r="21" spans="1:18" ht="14.15" customHeight="1" x14ac:dyDescent="0.35">
      <c r="A21" s="79"/>
      <c r="B21" s="74" t="s">
        <v>49</v>
      </c>
      <c r="C21" s="92" t="s">
        <v>18</v>
      </c>
      <c r="D21" s="19"/>
      <c r="E21" s="77">
        <f>'semana 1'!E21+D21</f>
        <v>0</v>
      </c>
      <c r="F21" s="20">
        <v>5.85</v>
      </c>
      <c r="G21" s="90">
        <f t="shared" si="3"/>
        <v>0</v>
      </c>
      <c r="H21" s="90">
        <f>'semana 1'!H21+G21</f>
        <v>0</v>
      </c>
      <c r="I21" s="91">
        <f t="shared" si="4"/>
        <v>0</v>
      </c>
      <c r="J21" s="91">
        <f t="shared" si="5"/>
        <v>0</v>
      </c>
      <c r="K21" s="55"/>
      <c r="L21" s="79"/>
      <c r="M21" s="43" t="s">
        <v>50</v>
      </c>
      <c r="N21" s="58">
        <f>SUM(G30:G36)</f>
        <v>7220.3612000000003</v>
      </c>
      <c r="O21" s="111">
        <f>SUM(H30:H36)</f>
        <v>13594.673500000001</v>
      </c>
      <c r="Q21" s="79"/>
      <c r="R21" s="79"/>
    </row>
    <row r="22" spans="1:18" ht="14.15" customHeight="1" x14ac:dyDescent="0.35">
      <c r="A22" s="79"/>
      <c r="B22" s="74" t="s">
        <v>51</v>
      </c>
      <c r="C22" s="92" t="s">
        <v>18</v>
      </c>
      <c r="D22" s="19">
        <v>32296</v>
      </c>
      <c r="E22" s="77">
        <f>'semana 1'!E22+D22</f>
        <v>66296</v>
      </c>
      <c r="F22" s="20">
        <v>1.03</v>
      </c>
      <c r="G22" s="90">
        <f t="shared" si="3"/>
        <v>33264.879999999997</v>
      </c>
      <c r="H22" s="90">
        <f>'semana 1'!H22+G22</f>
        <v>68284.88</v>
      </c>
      <c r="I22" s="91">
        <f t="shared" si="4"/>
        <v>566.98840953220292</v>
      </c>
      <c r="J22" s="91">
        <f t="shared" si="5"/>
        <v>647.39064345919246</v>
      </c>
      <c r="K22" s="55">
        <v>1000</v>
      </c>
      <c r="L22" s="79"/>
      <c r="M22" s="49" t="s">
        <v>52</v>
      </c>
      <c r="N22" s="58">
        <f>SUM(G40:G51)</f>
        <v>15585.746800000001</v>
      </c>
      <c r="O22" s="111">
        <f>SUM(H40:H51)</f>
        <v>37348.921600000001</v>
      </c>
      <c r="Q22" s="79"/>
      <c r="R22" s="79"/>
    </row>
    <row r="23" spans="1:18" ht="14.15" customHeight="1" x14ac:dyDescent="0.35">
      <c r="A23" s="79"/>
      <c r="B23" s="74" t="s">
        <v>29</v>
      </c>
      <c r="C23" s="92" t="s">
        <v>18</v>
      </c>
      <c r="D23" s="19">
        <v>775</v>
      </c>
      <c r="E23" s="77">
        <f>'semana 1'!E23+D23</f>
        <v>1350</v>
      </c>
      <c r="F23" s="20">
        <v>5.83</v>
      </c>
      <c r="G23" s="90">
        <f t="shared" si="3"/>
        <v>4518.25</v>
      </c>
      <c r="H23" s="90">
        <f>'semana 1'!H23+G23</f>
        <v>7870.5</v>
      </c>
      <c r="I23" s="91">
        <f t="shared" si="4"/>
        <v>13.605896005308933</v>
      </c>
      <c r="J23" s="91">
        <f t="shared" si="5"/>
        <v>13.182957775279201</v>
      </c>
      <c r="K23" s="55">
        <v>13</v>
      </c>
      <c r="L23" s="79"/>
      <c r="M23" s="52" t="s">
        <v>53</v>
      </c>
      <c r="N23" s="112">
        <f>SUM(N19:N22)</f>
        <v>223440.27500000002</v>
      </c>
      <c r="O23" s="113">
        <f>SUM(O19:O22)</f>
        <v>383012.63010000001</v>
      </c>
      <c r="Q23" s="79"/>
      <c r="R23" s="79"/>
    </row>
    <row r="24" spans="1:18" ht="14.15" customHeight="1" x14ac:dyDescent="0.35">
      <c r="A24" s="79"/>
      <c r="B24" s="74" t="s">
        <v>54</v>
      </c>
      <c r="C24" s="92" t="s">
        <v>18</v>
      </c>
      <c r="D24" s="19">
        <v>663.54</v>
      </c>
      <c r="E24" s="77">
        <f>'semana 1'!E24+D24</f>
        <v>1090.5899999999999</v>
      </c>
      <c r="F24" s="20">
        <v>8</v>
      </c>
      <c r="G24" s="90">
        <f t="shared" si="3"/>
        <v>5308.32</v>
      </c>
      <c r="H24" s="90">
        <f>'semana 1'!H24+G24</f>
        <v>8724.7199999999993</v>
      </c>
      <c r="I24" s="91">
        <f t="shared" si="4"/>
        <v>11.649104819822824</v>
      </c>
      <c r="J24" s="91">
        <f t="shared" si="5"/>
        <v>10.649779200104993</v>
      </c>
      <c r="K24" s="55">
        <v>2.8</v>
      </c>
      <c r="L24" s="79"/>
      <c r="P24" s="79"/>
      <c r="Q24" s="79"/>
      <c r="R24" s="79"/>
    </row>
    <row r="25" spans="1:18" ht="14.15" customHeight="1" x14ac:dyDescent="0.35">
      <c r="A25" s="79"/>
      <c r="B25" s="74" t="s">
        <v>55</v>
      </c>
      <c r="C25" s="92" t="s">
        <v>18</v>
      </c>
      <c r="D25" s="19">
        <v>2251.7600000000002</v>
      </c>
      <c r="E25" s="77">
        <f>'semana 1'!E25+D25</f>
        <v>3468.2300000000005</v>
      </c>
      <c r="F25" s="20">
        <v>5.85</v>
      </c>
      <c r="G25" s="90">
        <f t="shared" si="3"/>
        <v>13172.796</v>
      </c>
      <c r="H25" s="90">
        <f>'semana 1'!H25+G25</f>
        <v>20289.145499999999</v>
      </c>
      <c r="I25" s="91">
        <f t="shared" si="4"/>
        <v>39.531886953437997</v>
      </c>
      <c r="J25" s="91">
        <f t="shared" si="5"/>
        <v>33.86779973700488</v>
      </c>
      <c r="K25" s="55">
        <v>28</v>
      </c>
      <c r="L25" s="79"/>
      <c r="M25" s="56" t="s">
        <v>56</v>
      </c>
      <c r="N25" s="56" t="s">
        <v>9</v>
      </c>
      <c r="O25" s="56"/>
      <c r="P25" s="56" t="s">
        <v>11</v>
      </c>
      <c r="Q25" s="56"/>
      <c r="R25" s="79"/>
    </row>
    <row r="26" spans="1:18" ht="14.15" customHeight="1" x14ac:dyDescent="0.35">
      <c r="A26" s="79"/>
      <c r="B26" s="74" t="s">
        <v>58</v>
      </c>
      <c r="C26" s="103" t="s">
        <v>36</v>
      </c>
      <c r="D26" s="19"/>
      <c r="E26" s="77">
        <f>'semana 1'!E26+D26</f>
        <v>0</v>
      </c>
      <c r="F26" s="20">
        <v>6.98</v>
      </c>
      <c r="G26" s="90">
        <f t="shared" si="3"/>
        <v>0</v>
      </c>
      <c r="H26" s="90">
        <f>'semana 1'!H26+G26</f>
        <v>0</v>
      </c>
      <c r="I26" s="91">
        <f t="shared" si="4"/>
        <v>0</v>
      </c>
      <c r="J26" s="91">
        <f t="shared" si="5"/>
        <v>0</v>
      </c>
      <c r="K26" s="55">
        <v>21.3</v>
      </c>
      <c r="L26" s="79"/>
      <c r="M26" s="43" t="s">
        <v>46</v>
      </c>
      <c r="N26" s="114">
        <f>IF($N$9=0,0,N19/$N$9*1000)</f>
        <v>54.749114770964155</v>
      </c>
      <c r="O26" s="44" t="s">
        <v>59</v>
      </c>
      <c r="P26" s="114">
        <f>IF($O$9=0,0,O19/$O$9*1000)</f>
        <v>55.652650924450178</v>
      </c>
      <c r="Q26" s="44" t="s">
        <v>59</v>
      </c>
      <c r="R26" s="79"/>
    </row>
    <row r="27" spans="1:18" ht="14.15" customHeight="1" x14ac:dyDescent="0.35">
      <c r="A27" s="79"/>
      <c r="B27" s="74" t="s">
        <v>86</v>
      </c>
      <c r="C27" s="103" t="s">
        <v>36</v>
      </c>
      <c r="D27" s="19"/>
      <c r="E27" s="77">
        <f>'semana 1'!E27+D27</f>
        <v>0</v>
      </c>
      <c r="F27" s="115"/>
      <c r="G27" s="90">
        <f t="shared" si="3"/>
        <v>0</v>
      </c>
      <c r="H27" s="90">
        <f>'semana 1'!H27+G27</f>
        <v>0</v>
      </c>
      <c r="I27" s="91">
        <f t="shared" si="4"/>
        <v>0</v>
      </c>
      <c r="J27" s="91">
        <f t="shared" si="5"/>
        <v>0</v>
      </c>
      <c r="K27" s="55">
        <v>3.6</v>
      </c>
      <c r="L27" s="108"/>
      <c r="M27" s="43" t="s">
        <v>48</v>
      </c>
      <c r="N27" s="114">
        <f>IF($N$10=0,0,N20/$N$16)</f>
        <v>1.2128514446828158</v>
      </c>
      <c r="O27" s="44" t="s">
        <v>60</v>
      </c>
      <c r="P27" s="114">
        <f>IF($O$10=0,0,O20/$O$16)</f>
        <v>1.3441196830934135</v>
      </c>
      <c r="Q27" s="44" t="s">
        <v>60</v>
      </c>
    </row>
    <row r="28" spans="1:18" ht="14.5" x14ac:dyDescent="0.35">
      <c r="A28" s="79"/>
      <c r="B28" s="82" t="s">
        <v>62</v>
      </c>
      <c r="C28" s="82"/>
      <c r="D28" s="82" t="s">
        <v>5</v>
      </c>
      <c r="E28" s="82"/>
      <c r="F28" s="82" t="s">
        <v>6</v>
      </c>
      <c r="G28" s="82"/>
      <c r="H28" s="82"/>
      <c r="I28" s="82" t="s">
        <v>40</v>
      </c>
      <c r="J28" s="82"/>
      <c r="K28" s="82"/>
      <c r="L28" s="79"/>
      <c r="M28" s="43" t="s">
        <v>50</v>
      </c>
      <c r="N28" s="114">
        <f>IF($N$16=0,0,N21/$N$16)</f>
        <v>0.12676062401028079</v>
      </c>
      <c r="O28" s="44" t="s">
        <v>60</v>
      </c>
      <c r="P28" s="114">
        <f>IF($O$16=0,0,O21/$O$16)</f>
        <v>0.13275407905126452</v>
      </c>
      <c r="Q28" s="44" t="s">
        <v>60</v>
      </c>
    </row>
    <row r="29" spans="1:18" ht="14.5" x14ac:dyDescent="0.35">
      <c r="A29" s="79"/>
      <c r="B29" s="10"/>
      <c r="C29" s="10"/>
      <c r="D29" s="10" t="s">
        <v>12</v>
      </c>
      <c r="E29" s="10" t="s">
        <v>13</v>
      </c>
      <c r="F29" s="10" t="s">
        <v>14</v>
      </c>
      <c r="G29" s="10" t="s">
        <v>0</v>
      </c>
      <c r="H29" s="10" t="s">
        <v>13</v>
      </c>
      <c r="I29" s="10" t="s">
        <v>0</v>
      </c>
      <c r="J29" s="10" t="s">
        <v>13</v>
      </c>
      <c r="K29" s="10" t="s">
        <v>15</v>
      </c>
      <c r="L29" s="79"/>
      <c r="M29" s="49" t="s">
        <v>52</v>
      </c>
      <c r="N29" s="116">
        <f>IF($N$16=0,0,N22/$N$16)</f>
        <v>0.27362329048500195</v>
      </c>
      <c r="O29" s="117" t="s">
        <v>60</v>
      </c>
      <c r="P29" s="116">
        <f>IF($O$16=0,0,O22/$O$16)</f>
        <v>0.36471796770741727</v>
      </c>
      <c r="Q29" s="117" t="s">
        <v>60</v>
      </c>
    </row>
    <row r="30" spans="1:18" ht="14.15" customHeight="1" x14ac:dyDescent="0.35">
      <c r="A30" s="79"/>
      <c r="B30" s="88" t="s">
        <v>63</v>
      </c>
      <c r="C30" s="118" t="s">
        <v>18</v>
      </c>
      <c r="D30" s="19"/>
      <c r="E30" s="77">
        <f>'semana 1'!E30+D30</f>
        <v>0</v>
      </c>
      <c r="F30" s="20">
        <v>1.03</v>
      </c>
      <c r="G30" s="90">
        <f t="shared" ref="G30:G36" si="6">D30*F30</f>
        <v>0</v>
      </c>
      <c r="H30" s="20">
        <f t="shared" ref="H30:H36" si="7">E30*F30</f>
        <v>0</v>
      </c>
      <c r="I30" s="93">
        <f t="shared" ref="I30:I36" si="8">IF($N$16=0,0,D30/$N$16*1000)</f>
        <v>0</v>
      </c>
      <c r="J30" s="19">
        <f t="shared" ref="J30:J36" si="9">IF($O$16=0,0,E30/$O$16*1000)</f>
        <v>0</v>
      </c>
      <c r="K30" s="23">
        <v>0</v>
      </c>
      <c r="L30" s="79"/>
      <c r="M30" s="52" t="s">
        <v>64</v>
      </c>
      <c r="N30" s="119">
        <f>IF($N$16=0,0,N23/$N$16)</f>
        <v>3.9227163161904901</v>
      </c>
      <c r="O30" s="120" t="s">
        <v>60</v>
      </c>
      <c r="P30" s="119">
        <f>IF($O$16=0,0,O23/$O$16)</f>
        <v>3.7401772814866159</v>
      </c>
      <c r="Q30" s="121" t="s">
        <v>60</v>
      </c>
    </row>
    <row r="31" spans="1:18" ht="14.15" customHeight="1" x14ac:dyDescent="0.35">
      <c r="A31" s="79"/>
      <c r="B31" s="74" t="s">
        <v>29</v>
      </c>
      <c r="C31" s="122" t="s">
        <v>18</v>
      </c>
      <c r="D31" s="19"/>
      <c r="E31" s="77">
        <f>'semana 1'!E31+D31</f>
        <v>25</v>
      </c>
      <c r="F31" s="20">
        <v>5.83</v>
      </c>
      <c r="G31" s="90">
        <f t="shared" si="6"/>
        <v>0</v>
      </c>
      <c r="H31" s="20">
        <f t="shared" si="7"/>
        <v>145.75</v>
      </c>
      <c r="I31" s="93">
        <f t="shared" si="8"/>
        <v>0</v>
      </c>
      <c r="J31" s="19">
        <f t="shared" si="9"/>
        <v>0.24412884769035556</v>
      </c>
      <c r="K31" s="23">
        <v>1.5</v>
      </c>
      <c r="L31" s="79"/>
    </row>
    <row r="32" spans="1:18" ht="14.15" customHeight="1" x14ac:dyDescent="0.35">
      <c r="A32" s="79"/>
      <c r="B32" s="74" t="s">
        <v>65</v>
      </c>
      <c r="C32" s="122" t="s">
        <v>18</v>
      </c>
      <c r="D32" s="19">
        <v>705.88</v>
      </c>
      <c r="E32" s="77">
        <f>'semana 1'!E32+D32</f>
        <v>1317.65</v>
      </c>
      <c r="F32" s="20">
        <v>8.99</v>
      </c>
      <c r="G32" s="90">
        <f t="shared" si="6"/>
        <v>6345.8612000000003</v>
      </c>
      <c r="H32" s="20">
        <f t="shared" si="7"/>
        <v>11845.673500000001</v>
      </c>
      <c r="I32" s="93">
        <f t="shared" si="8"/>
        <v>12.392425641583831</v>
      </c>
      <c r="J32" s="19">
        <f t="shared" si="9"/>
        <v>12.867055046367881</v>
      </c>
      <c r="K32" s="23">
        <v>8</v>
      </c>
      <c r="L32" s="79"/>
    </row>
    <row r="33" spans="1:18" ht="14.15" customHeight="1" x14ac:dyDescent="0.35">
      <c r="A33" s="79"/>
      <c r="B33" s="102" t="s">
        <v>66</v>
      </c>
      <c r="C33" s="123" t="s">
        <v>18</v>
      </c>
      <c r="D33" s="19"/>
      <c r="E33" s="77">
        <f>'semana 1'!E33+D33</f>
        <v>0</v>
      </c>
      <c r="F33" s="20">
        <v>24</v>
      </c>
      <c r="G33" s="90">
        <f t="shared" si="6"/>
        <v>0</v>
      </c>
      <c r="H33" s="20">
        <f t="shared" si="7"/>
        <v>0</v>
      </c>
      <c r="I33" s="93">
        <f t="shared" si="8"/>
        <v>0</v>
      </c>
      <c r="J33" s="19">
        <f t="shared" si="9"/>
        <v>0</v>
      </c>
      <c r="K33" s="23">
        <v>0</v>
      </c>
      <c r="L33" s="79"/>
      <c r="M33" s="79"/>
      <c r="N33" s="79"/>
      <c r="O33" s="79"/>
      <c r="P33" s="79"/>
      <c r="Q33" s="79"/>
      <c r="R33" s="79"/>
    </row>
    <row r="34" spans="1:18" ht="14.15" customHeight="1" x14ac:dyDescent="0.35">
      <c r="A34" s="79"/>
      <c r="B34" s="102" t="s">
        <v>67</v>
      </c>
      <c r="C34" s="123" t="s">
        <v>36</v>
      </c>
      <c r="D34" s="75">
        <v>100</v>
      </c>
      <c r="E34" s="77">
        <f>'semana 1'!E34+D34</f>
        <v>150</v>
      </c>
      <c r="F34" s="20">
        <v>5.83</v>
      </c>
      <c r="G34" s="90">
        <f t="shared" si="6"/>
        <v>583</v>
      </c>
      <c r="H34" s="20">
        <f t="shared" si="7"/>
        <v>874.5</v>
      </c>
      <c r="I34" s="93">
        <f t="shared" si="8"/>
        <v>1.7555994845559912</v>
      </c>
      <c r="J34" s="19">
        <f t="shared" si="9"/>
        <v>1.4647730861421333</v>
      </c>
      <c r="K34" s="23">
        <v>2</v>
      </c>
      <c r="L34" s="79"/>
      <c r="M34" s="79"/>
      <c r="N34" s="79"/>
      <c r="O34" s="79"/>
      <c r="P34" s="79"/>
      <c r="Q34" s="79"/>
      <c r="R34" s="79"/>
    </row>
    <row r="35" spans="1:18" ht="14.15" customHeight="1" x14ac:dyDescent="0.35">
      <c r="A35" s="79"/>
      <c r="B35" s="102" t="s">
        <v>68</v>
      </c>
      <c r="C35" s="123" t="s">
        <v>18</v>
      </c>
      <c r="D35" s="75">
        <v>50</v>
      </c>
      <c r="E35" s="77">
        <f>'semana 1'!E35+D35</f>
        <v>125</v>
      </c>
      <c r="F35" s="20">
        <v>5.83</v>
      </c>
      <c r="G35" s="90">
        <f t="shared" si="6"/>
        <v>291.5</v>
      </c>
      <c r="H35" s="20">
        <f t="shared" si="7"/>
        <v>728.75</v>
      </c>
      <c r="I35" s="93">
        <f t="shared" si="8"/>
        <v>0.87779974227799562</v>
      </c>
      <c r="J35" s="19">
        <f t="shared" si="9"/>
        <v>1.2206442384517777</v>
      </c>
      <c r="K35" s="23">
        <v>1</v>
      </c>
      <c r="L35" s="79"/>
      <c r="M35" s="79"/>
      <c r="N35" s="79"/>
      <c r="O35" s="79"/>
      <c r="P35" s="79"/>
      <c r="Q35" s="79"/>
      <c r="R35" s="79"/>
    </row>
    <row r="36" spans="1:18" ht="14.15" customHeight="1" x14ac:dyDescent="0.35">
      <c r="A36" s="79"/>
      <c r="B36" s="102" t="s">
        <v>69</v>
      </c>
      <c r="C36" s="123" t="s">
        <v>18</v>
      </c>
      <c r="D36" s="75"/>
      <c r="E36" s="77">
        <f>'semana 1'!E36+D36</f>
        <v>0</v>
      </c>
      <c r="F36" s="20">
        <v>5.83</v>
      </c>
      <c r="G36" s="90">
        <f t="shared" si="6"/>
        <v>0</v>
      </c>
      <c r="H36" s="20">
        <f t="shared" si="7"/>
        <v>0</v>
      </c>
      <c r="I36" s="93">
        <f t="shared" si="8"/>
        <v>0</v>
      </c>
      <c r="J36" s="19">
        <f t="shared" si="9"/>
        <v>0</v>
      </c>
      <c r="K36" s="23">
        <v>1</v>
      </c>
      <c r="L36" s="79"/>
      <c r="M36" s="79"/>
      <c r="N36" s="79"/>
      <c r="O36" s="79"/>
      <c r="P36" s="79"/>
      <c r="Q36" s="79"/>
      <c r="R36" s="79"/>
    </row>
    <row r="37" spans="1:18" ht="12" customHeight="1" x14ac:dyDescent="0.35">
      <c r="A37" s="79"/>
      <c r="R37" s="79"/>
    </row>
    <row r="38" spans="1:18" ht="14.5" x14ac:dyDescent="0.35">
      <c r="A38" s="79"/>
      <c r="B38" s="82" t="s">
        <v>70</v>
      </c>
      <c r="C38" s="82"/>
      <c r="D38" s="82" t="s">
        <v>5</v>
      </c>
      <c r="E38" s="82"/>
      <c r="F38" s="82" t="s">
        <v>71</v>
      </c>
      <c r="G38" s="82"/>
      <c r="H38" s="82"/>
      <c r="I38" s="82" t="s">
        <v>72</v>
      </c>
      <c r="J38" s="82"/>
      <c r="K38" s="82"/>
      <c r="L38" s="108"/>
      <c r="M38" s="108"/>
      <c r="N38" s="108"/>
      <c r="O38" s="108"/>
      <c r="P38" s="108"/>
      <c r="Q38" s="108"/>
      <c r="R38" s="79"/>
    </row>
    <row r="39" spans="1:18" ht="15.75" customHeight="1" x14ac:dyDescent="0.35">
      <c r="A39" s="79"/>
      <c r="B39" s="10"/>
      <c r="C39" s="10"/>
      <c r="D39" s="10" t="s">
        <v>12</v>
      </c>
      <c r="E39" s="10" t="s">
        <v>13</v>
      </c>
      <c r="F39" s="10" t="s">
        <v>14</v>
      </c>
      <c r="G39" s="10" t="s">
        <v>0</v>
      </c>
      <c r="H39" s="10" t="s">
        <v>13</v>
      </c>
      <c r="I39" s="10" t="s">
        <v>0</v>
      </c>
      <c r="J39" s="10" t="s">
        <v>13</v>
      </c>
      <c r="K39" s="10" t="s">
        <v>15</v>
      </c>
      <c r="L39" s="79"/>
      <c r="M39" s="79"/>
      <c r="N39" s="79"/>
      <c r="O39" s="79"/>
      <c r="P39" s="79"/>
      <c r="Q39" s="79"/>
      <c r="R39" s="79"/>
    </row>
    <row r="40" spans="1:18" ht="14.15" customHeight="1" x14ac:dyDescent="0.35">
      <c r="A40" s="79"/>
      <c r="B40" s="88" t="s">
        <v>29</v>
      </c>
      <c r="C40" s="118" t="s">
        <v>18</v>
      </c>
      <c r="D40" s="19">
        <v>175</v>
      </c>
      <c r="E40" s="77">
        <f>'semana 1'!E40+D40</f>
        <v>675</v>
      </c>
      <c r="F40" s="20">
        <v>5.83</v>
      </c>
      <c r="G40" s="20">
        <f t="shared" ref="G40:G52" si="10">D40*F40</f>
        <v>1020.25</v>
      </c>
      <c r="H40" s="20">
        <f t="shared" ref="H40:H52" si="11">E40*F40</f>
        <v>3935.25</v>
      </c>
      <c r="I40" s="21">
        <f t="shared" ref="I40:I52" si="12">IF($N$16=0,0,D40/$N$16*1000)</f>
        <v>3.0722990979729849</v>
      </c>
      <c r="J40" s="72">
        <f t="shared" ref="J40:J52" si="13">IF($O$16=0,0,E40/$O$16*1000)</f>
        <v>6.5914788876396004</v>
      </c>
      <c r="K40" s="55">
        <v>6</v>
      </c>
      <c r="L40" s="79"/>
      <c r="M40" s="79"/>
      <c r="N40" s="79"/>
      <c r="O40" s="79"/>
      <c r="P40" s="79"/>
      <c r="Q40" s="79"/>
      <c r="R40" s="79"/>
    </row>
    <row r="41" spans="1:18" ht="14.15" customHeight="1" x14ac:dyDescent="0.35">
      <c r="A41" s="79"/>
      <c r="B41" s="74" t="s">
        <v>73</v>
      </c>
      <c r="C41" s="122" t="s">
        <v>18</v>
      </c>
      <c r="D41" s="19">
        <v>150</v>
      </c>
      <c r="E41" s="77">
        <f>'semana 1'!E41+D41</f>
        <v>400</v>
      </c>
      <c r="F41" s="20">
        <v>37.840000000000003</v>
      </c>
      <c r="G41" s="20">
        <f t="shared" si="10"/>
        <v>5676.0000000000009</v>
      </c>
      <c r="H41" s="20">
        <f t="shared" si="11"/>
        <v>15136.000000000002</v>
      </c>
      <c r="I41" s="21">
        <f t="shared" si="12"/>
        <v>2.633399226833987</v>
      </c>
      <c r="J41" s="72">
        <f t="shared" si="13"/>
        <v>3.906061563045689</v>
      </c>
      <c r="K41" s="55">
        <v>3</v>
      </c>
      <c r="L41" s="79"/>
      <c r="M41" s="79"/>
      <c r="N41" s="79"/>
      <c r="O41" s="79"/>
      <c r="P41" s="79"/>
      <c r="Q41" s="79"/>
      <c r="R41" s="79"/>
    </row>
    <row r="42" spans="1:18" ht="14.15" customHeight="1" x14ac:dyDescent="0.35">
      <c r="A42" s="79"/>
      <c r="B42" s="74" t="s">
        <v>74</v>
      </c>
      <c r="C42" s="122" t="s">
        <v>18</v>
      </c>
      <c r="D42" s="19"/>
      <c r="E42" s="77">
        <f>'semana 1'!E42+D42</f>
        <v>38.5</v>
      </c>
      <c r="F42" s="20">
        <v>21</v>
      </c>
      <c r="G42" s="20">
        <f t="shared" si="10"/>
        <v>0</v>
      </c>
      <c r="H42" s="20">
        <f t="shared" si="11"/>
        <v>808.5</v>
      </c>
      <c r="I42" s="21">
        <f t="shared" si="12"/>
        <v>0</v>
      </c>
      <c r="J42" s="72">
        <f t="shared" si="13"/>
        <v>0.37595842544314756</v>
      </c>
      <c r="K42" s="55">
        <v>0.35</v>
      </c>
      <c r="L42" s="79"/>
      <c r="M42" s="79"/>
      <c r="N42" s="79"/>
      <c r="O42" s="79"/>
      <c r="P42" s="79"/>
      <c r="Q42" s="79"/>
      <c r="R42" s="79"/>
    </row>
    <row r="43" spans="1:18" ht="14.15" customHeight="1" x14ac:dyDescent="0.35">
      <c r="A43" s="79"/>
      <c r="B43" s="74" t="s">
        <v>75</v>
      </c>
      <c r="C43" s="122" t="s">
        <v>18</v>
      </c>
      <c r="D43" s="19">
        <v>390</v>
      </c>
      <c r="E43" s="77">
        <f>'semana 1'!E43+D43</f>
        <v>1035</v>
      </c>
      <c r="F43" s="20">
        <v>2.9</v>
      </c>
      <c r="G43" s="20">
        <f t="shared" si="10"/>
        <v>1131</v>
      </c>
      <c r="H43" s="20">
        <f t="shared" si="11"/>
        <v>3001.5</v>
      </c>
      <c r="I43" s="21">
        <f t="shared" si="12"/>
        <v>6.8468379897683667</v>
      </c>
      <c r="J43" s="72">
        <f t="shared" si="13"/>
        <v>10.106934294380721</v>
      </c>
      <c r="K43" s="55">
        <v>7</v>
      </c>
      <c r="L43" s="79"/>
      <c r="M43" s="79"/>
      <c r="N43" s="79"/>
      <c r="O43" s="79"/>
      <c r="P43" s="79"/>
      <c r="Q43" s="79"/>
      <c r="R43" s="79"/>
    </row>
    <row r="44" spans="1:18" ht="14.15" customHeight="1" x14ac:dyDescent="0.35">
      <c r="A44" s="79"/>
      <c r="B44" s="74" t="s">
        <v>76</v>
      </c>
      <c r="C44" s="122" t="s">
        <v>18</v>
      </c>
      <c r="D44" s="19">
        <v>15</v>
      </c>
      <c r="E44" s="77">
        <f>'semana 1'!E44+D44</f>
        <v>35</v>
      </c>
      <c r="F44" s="20">
        <v>24</v>
      </c>
      <c r="G44" s="20">
        <f t="shared" si="10"/>
        <v>360</v>
      </c>
      <c r="H44" s="20">
        <f t="shared" si="11"/>
        <v>840</v>
      </c>
      <c r="I44" s="21">
        <f t="shared" si="12"/>
        <v>0.26333992268339873</v>
      </c>
      <c r="J44" s="72">
        <f t="shared" si="13"/>
        <v>0.34178038676649775</v>
      </c>
      <c r="K44" s="55">
        <v>0.3</v>
      </c>
      <c r="L44" s="79"/>
      <c r="M44" s="79"/>
      <c r="N44" s="79"/>
      <c r="O44" s="79"/>
      <c r="P44" s="79"/>
      <c r="Q44" s="79"/>
      <c r="R44" s="79"/>
    </row>
    <row r="45" spans="1:18" ht="14.15" customHeight="1" x14ac:dyDescent="0.35">
      <c r="A45" s="79"/>
      <c r="B45" s="74" t="s">
        <v>77</v>
      </c>
      <c r="C45" s="122" t="s">
        <v>18</v>
      </c>
      <c r="D45" s="19">
        <v>1910.83</v>
      </c>
      <c r="E45" s="77">
        <f>'semana 1'!E45+D45</f>
        <v>3922.23</v>
      </c>
      <c r="F45" s="20">
        <v>0.64</v>
      </c>
      <c r="G45" s="20">
        <f t="shared" si="10"/>
        <v>1222.9312</v>
      </c>
      <c r="H45" s="20">
        <f t="shared" si="11"/>
        <v>2510.2272000000003</v>
      </c>
      <c r="I45" s="21">
        <f t="shared" si="12"/>
        <v>33.546521630741246</v>
      </c>
      <c r="J45" s="72">
        <f t="shared" si="13"/>
        <v>38.301179611061734</v>
      </c>
      <c r="K45" s="55">
        <v>12</v>
      </c>
      <c r="L45" s="79"/>
      <c r="M45" s="79"/>
      <c r="N45" s="79"/>
      <c r="O45" s="79"/>
      <c r="P45" s="79"/>
      <c r="Q45" s="79"/>
      <c r="R45" s="79"/>
    </row>
    <row r="46" spans="1:18" ht="14.15" customHeight="1" x14ac:dyDescent="0.35">
      <c r="A46" s="79"/>
      <c r="B46" s="74" t="s">
        <v>78</v>
      </c>
      <c r="C46" s="122" t="s">
        <v>18</v>
      </c>
      <c r="D46" s="19">
        <v>15</v>
      </c>
      <c r="E46" s="77">
        <f>'semana 1'!E46+D46</f>
        <v>30</v>
      </c>
      <c r="F46" s="20">
        <v>24</v>
      </c>
      <c r="G46" s="20">
        <f t="shared" si="10"/>
        <v>360</v>
      </c>
      <c r="H46" s="20">
        <f t="shared" si="11"/>
        <v>720</v>
      </c>
      <c r="I46" s="21">
        <f t="shared" si="12"/>
        <v>0.26333992268339873</v>
      </c>
      <c r="J46" s="72">
        <f t="shared" si="13"/>
        <v>0.29295461722842669</v>
      </c>
      <c r="K46" s="55">
        <v>0.4</v>
      </c>
      <c r="L46" s="79"/>
      <c r="M46" s="79"/>
      <c r="N46" s="79"/>
      <c r="O46" s="79"/>
      <c r="P46" s="79"/>
      <c r="Q46" s="79"/>
      <c r="R46" s="79"/>
    </row>
    <row r="47" spans="1:18" ht="14.15" customHeight="1" x14ac:dyDescent="0.35">
      <c r="A47" s="79"/>
      <c r="B47" s="74" t="s">
        <v>79</v>
      </c>
      <c r="C47" s="122" t="s">
        <v>18</v>
      </c>
      <c r="D47" s="19"/>
      <c r="E47" s="77">
        <f>'semana 1'!E47+D47</f>
        <v>0</v>
      </c>
      <c r="F47" s="20">
        <v>41.96</v>
      </c>
      <c r="G47" s="20">
        <f t="shared" si="10"/>
        <v>0</v>
      </c>
      <c r="H47" s="20">
        <f t="shared" si="11"/>
        <v>0</v>
      </c>
      <c r="I47" s="21">
        <f t="shared" si="12"/>
        <v>0</v>
      </c>
      <c r="J47" s="72">
        <f t="shared" si="13"/>
        <v>0</v>
      </c>
      <c r="K47" s="55">
        <v>0.2</v>
      </c>
      <c r="L47" s="79"/>
      <c r="M47" s="79"/>
      <c r="N47" s="79"/>
      <c r="O47" s="79"/>
      <c r="P47" s="79"/>
      <c r="Q47" s="79"/>
      <c r="R47" s="79"/>
    </row>
    <row r="48" spans="1:18" ht="14.15" customHeight="1" x14ac:dyDescent="0.35">
      <c r="B48" s="74" t="s">
        <v>80</v>
      </c>
      <c r="C48" s="122" t="s">
        <v>18</v>
      </c>
      <c r="D48" s="19">
        <v>167.77</v>
      </c>
      <c r="E48" s="77">
        <f>'semana 1'!E48+D48</f>
        <v>294.44</v>
      </c>
      <c r="F48" s="20">
        <v>23.51</v>
      </c>
      <c r="G48" s="20">
        <f t="shared" si="10"/>
        <v>3944.2727000000004</v>
      </c>
      <c r="H48" s="20">
        <f t="shared" si="11"/>
        <v>6922.2844000000005</v>
      </c>
      <c r="I48" s="21">
        <f t="shared" si="12"/>
        <v>2.9453692552395871</v>
      </c>
      <c r="J48" s="72">
        <f t="shared" si="13"/>
        <v>2.8752519165579318</v>
      </c>
      <c r="K48" s="55">
        <v>2</v>
      </c>
    </row>
    <row r="49" spans="2:11" ht="14.15" customHeight="1" x14ac:dyDescent="0.35">
      <c r="B49" s="74" t="s">
        <v>81</v>
      </c>
      <c r="C49" s="122" t="s">
        <v>18</v>
      </c>
      <c r="D49" s="19"/>
      <c r="E49" s="77">
        <f>'semana 1'!E49+D49</f>
        <v>0</v>
      </c>
      <c r="F49" s="20">
        <v>41.96</v>
      </c>
      <c r="G49" s="20">
        <f t="shared" si="10"/>
        <v>0</v>
      </c>
      <c r="H49" s="20">
        <f t="shared" si="11"/>
        <v>0</v>
      </c>
      <c r="I49" s="21">
        <f t="shared" si="12"/>
        <v>0</v>
      </c>
      <c r="J49" s="72">
        <f t="shared" si="13"/>
        <v>0</v>
      </c>
      <c r="K49" s="55">
        <v>0.5</v>
      </c>
    </row>
    <row r="50" spans="2:11" ht="14.15" customHeight="1" x14ac:dyDescent="0.35">
      <c r="B50" s="74" t="s">
        <v>82</v>
      </c>
      <c r="C50" s="124" t="s">
        <v>18</v>
      </c>
      <c r="D50" s="19">
        <v>16.96</v>
      </c>
      <c r="E50" s="77">
        <f>'semana 1'!E50+D50</f>
        <v>27.76</v>
      </c>
      <c r="F50" s="20">
        <v>43.43</v>
      </c>
      <c r="G50" s="20">
        <f t="shared" si="10"/>
        <v>736.57280000000003</v>
      </c>
      <c r="H50" s="20">
        <f t="shared" si="11"/>
        <v>1205.6168</v>
      </c>
      <c r="I50" s="21">
        <f t="shared" si="12"/>
        <v>0.29774967258069612</v>
      </c>
      <c r="J50" s="72">
        <f t="shared" si="13"/>
        <v>0.27108067247537082</v>
      </c>
      <c r="K50" s="55">
        <v>0.05</v>
      </c>
    </row>
    <row r="51" spans="2:11" ht="14.15" customHeight="1" x14ac:dyDescent="0.35">
      <c r="B51" s="74" t="s">
        <v>63</v>
      </c>
      <c r="C51" s="118" t="s">
        <v>18</v>
      </c>
      <c r="D51" s="19">
        <v>1101.67</v>
      </c>
      <c r="E51" s="77">
        <f>'semana 1'!E51+D51</f>
        <v>2203.44</v>
      </c>
      <c r="F51" s="76">
        <v>1.03</v>
      </c>
      <c r="G51" s="20">
        <f t="shared" si="10"/>
        <v>1134.7201</v>
      </c>
      <c r="H51" s="20">
        <f t="shared" si="11"/>
        <v>2269.5432000000001</v>
      </c>
      <c r="I51" s="21">
        <f t="shared" si="12"/>
        <v>19.34091284150799</v>
      </c>
      <c r="J51" s="72">
        <f t="shared" si="13"/>
        <v>21.516930726193483</v>
      </c>
      <c r="K51" s="55">
        <v>0</v>
      </c>
    </row>
    <row r="52" spans="2:11" ht="14.15" customHeight="1" x14ac:dyDescent="0.35">
      <c r="B52" s="74" t="s">
        <v>83</v>
      </c>
      <c r="C52" s="28" t="s">
        <v>36</v>
      </c>
      <c r="D52" s="75"/>
      <c r="E52" s="77">
        <f>'semana 1'!E52+D52</f>
        <v>0</v>
      </c>
      <c r="F52" s="76">
        <v>26.1</v>
      </c>
      <c r="G52" s="20">
        <f t="shared" si="10"/>
        <v>0</v>
      </c>
      <c r="H52" s="20">
        <f t="shared" si="11"/>
        <v>0</v>
      </c>
      <c r="I52" s="30">
        <f t="shared" si="12"/>
        <v>0</v>
      </c>
      <c r="J52" s="19">
        <f t="shared" si="13"/>
        <v>0</v>
      </c>
      <c r="K52" s="23">
        <v>2.5</v>
      </c>
    </row>
  </sheetData>
  <mergeCells count="7">
    <mergeCell ref="F16:H16"/>
    <mergeCell ref="I16:J16"/>
    <mergeCell ref="E2:P2"/>
    <mergeCell ref="C3:G3"/>
    <mergeCell ref="D4:E4"/>
    <mergeCell ref="F4:H4"/>
    <mergeCell ref="I4:J4"/>
  </mergeCells>
  <printOptions horizontalCentered="1" verticalCentered="1"/>
  <pageMargins left="0" right="0" top="0" bottom="0" header="0.511811023622047" footer="0.511811023622047"/>
  <pageSetup paperSize="9" scale="8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53"/>
  <sheetViews>
    <sheetView showGridLines="0" zoomScaleNormal="100" workbookViewId="0">
      <selection activeCell="B40" sqref="B40"/>
    </sheetView>
  </sheetViews>
  <sheetFormatPr defaultColWidth="9.1796875" defaultRowHeight="15" customHeight="1" x14ac:dyDescent="0.35"/>
  <cols>
    <col min="1" max="1" width="1.81640625" style="78" customWidth="1"/>
    <col min="2" max="2" width="21.54296875" style="78" customWidth="1"/>
    <col min="3" max="3" width="3.54296875" style="78" customWidth="1"/>
    <col min="4" max="4" width="10.453125" style="78" customWidth="1"/>
    <col min="5" max="5" width="7.7265625" style="78" customWidth="1"/>
    <col min="6" max="6" width="12" style="78" customWidth="1"/>
    <col min="7" max="7" width="9.453125" style="78" customWidth="1"/>
    <col min="8" max="8" width="9.81640625" style="78" customWidth="1"/>
    <col min="9" max="9" width="9.26953125" style="78" customWidth="1"/>
    <col min="10" max="10" width="7.54296875" style="78" customWidth="1"/>
    <col min="11" max="11" width="6.54296875" style="78" customWidth="1"/>
    <col min="12" max="12" width="5.453125" style="78" customWidth="1"/>
    <col min="13" max="13" width="22.7265625" style="78" customWidth="1"/>
    <col min="14" max="14" width="13.453125" style="78" customWidth="1"/>
    <col min="15" max="15" width="13.81640625" style="78" customWidth="1"/>
    <col min="16" max="16" width="13.54296875" style="78" customWidth="1"/>
    <col min="17" max="17" width="10.26953125" style="78" customWidth="1"/>
    <col min="18" max="1024" width="9.08984375" style="78"/>
  </cols>
  <sheetData>
    <row r="1" spans="1:19" ht="7.5" customHeight="1" x14ac:dyDescent="0.35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9" ht="20.25" customHeight="1" x14ac:dyDescent="0.35">
      <c r="A2" s="79"/>
      <c r="B2" s="80" t="s">
        <v>0</v>
      </c>
      <c r="C2" s="79"/>
      <c r="D2" s="79"/>
      <c r="E2" s="137" t="s">
        <v>1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79"/>
      <c r="R2" s="79"/>
      <c r="S2" s="78" t="s">
        <v>87</v>
      </c>
    </row>
    <row r="3" spans="1:19" ht="10.5" customHeight="1" x14ac:dyDescent="0.35">
      <c r="A3" s="79"/>
      <c r="B3" s="81">
        <v>3</v>
      </c>
      <c r="C3" s="138" t="s">
        <v>88</v>
      </c>
      <c r="D3" s="138"/>
      <c r="E3" s="138"/>
      <c r="F3" s="138"/>
      <c r="G3" s="13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 spans="1:19" ht="14.5" x14ac:dyDescent="0.35">
      <c r="A4" s="79"/>
      <c r="B4" s="82" t="s">
        <v>3</v>
      </c>
      <c r="C4" s="82"/>
      <c r="D4" s="136" t="s">
        <v>5</v>
      </c>
      <c r="E4" s="136"/>
      <c r="F4" s="136" t="s">
        <v>6</v>
      </c>
      <c r="G4" s="136"/>
      <c r="H4" s="136"/>
      <c r="I4" s="136" t="s">
        <v>7</v>
      </c>
      <c r="J4" s="136"/>
      <c r="K4" s="82"/>
      <c r="L4" s="82"/>
      <c r="M4" s="82" t="s">
        <v>8</v>
      </c>
      <c r="N4" s="83" t="s">
        <v>9</v>
      </c>
      <c r="O4" s="83" t="s">
        <v>11</v>
      </c>
      <c r="P4" s="83" t="s">
        <v>89</v>
      </c>
      <c r="Q4" s="84"/>
      <c r="R4" s="79"/>
    </row>
    <row r="5" spans="1:19" ht="14.5" x14ac:dyDescent="0.35">
      <c r="A5" s="79"/>
      <c r="B5" s="10"/>
      <c r="C5" s="10"/>
      <c r="D5" s="10" t="s">
        <v>12</v>
      </c>
      <c r="E5" s="10" t="s">
        <v>13</v>
      </c>
      <c r="F5" s="10" t="s">
        <v>14</v>
      </c>
      <c r="G5" s="10" t="s">
        <v>0</v>
      </c>
      <c r="H5" s="10" t="s">
        <v>13</v>
      </c>
      <c r="I5" s="10" t="s">
        <v>0</v>
      </c>
      <c r="J5" s="10" t="s">
        <v>13</v>
      </c>
      <c r="K5" s="10" t="s">
        <v>15</v>
      </c>
      <c r="L5" s="79"/>
      <c r="M5" s="43" t="s">
        <v>16</v>
      </c>
      <c r="N5" s="85">
        <v>61456</v>
      </c>
      <c r="O5" s="86">
        <f ca="1">INDIRECT("'" &amp; $S$2 &amp; "'!O" &amp; ROW()) + N5</f>
        <v>166834</v>
      </c>
      <c r="P5" s="85">
        <v>109459</v>
      </c>
      <c r="Q5" s="87"/>
      <c r="R5" s="79"/>
    </row>
    <row r="6" spans="1:19" ht="14.15" customHeight="1" x14ac:dyDescent="0.35">
      <c r="A6" s="79"/>
      <c r="B6" s="88" t="s">
        <v>17</v>
      </c>
      <c r="C6" s="89" t="s">
        <v>18</v>
      </c>
      <c r="D6" s="125">
        <v>8459.2199999999993</v>
      </c>
      <c r="E6" s="86">
        <f t="shared" ref="E6:E14" ca="1" si="0">INDIRECT("'" &amp; $S$2 &amp; "'!E" &amp; ROW()) + D6</f>
        <v>34228.94</v>
      </c>
      <c r="F6" s="20">
        <v>2.54</v>
      </c>
      <c r="G6" s="126">
        <f t="shared" ref="G6:G14" si="1">F6*D6</f>
        <v>21486.418799999999</v>
      </c>
      <c r="H6" s="126">
        <f t="shared" ref="H6:H14" ca="1" si="2">INDIRECT("'" &amp; $S$2 &amp; "'!H" &amp; ROW()) + G6</f>
        <v>86941.507600000012</v>
      </c>
      <c r="I6" s="127">
        <f>IF($N$9=0,0,D6/$N$9*1000)</f>
        <v>3.2640060378103981</v>
      </c>
      <c r="J6" s="127">
        <f ca="1">IF($O$9=0,0,E6/$O$9*1000)</f>
        <v>5.6249453592681524</v>
      </c>
      <c r="K6" s="23">
        <v>9.8000000000000007</v>
      </c>
      <c r="L6" s="79"/>
      <c r="M6" s="43" t="s">
        <v>19</v>
      </c>
      <c r="N6" s="85"/>
      <c r="O6" s="86">
        <f>'semana 1'!O6+N6</f>
        <v>0</v>
      </c>
      <c r="P6" s="85"/>
      <c r="R6" s="79"/>
    </row>
    <row r="7" spans="1:19" ht="14.15" customHeight="1" x14ac:dyDescent="0.35">
      <c r="A7" s="79"/>
      <c r="B7" s="74" t="s">
        <v>20</v>
      </c>
      <c r="C7" s="92" t="s">
        <v>18</v>
      </c>
      <c r="D7" s="125"/>
      <c r="E7" s="86">
        <f t="shared" ca="1" si="0"/>
        <v>70</v>
      </c>
      <c r="F7" s="20">
        <v>599</v>
      </c>
      <c r="G7" s="126">
        <f t="shared" si="1"/>
        <v>0</v>
      </c>
      <c r="H7" s="126">
        <f t="shared" ca="1" si="2"/>
        <v>41930</v>
      </c>
      <c r="I7" s="128">
        <f t="shared" ref="I7:I14" si="3">IF($N$9=0,0,D7/$N$9*1000)*1000</f>
        <v>0</v>
      </c>
      <c r="J7" s="128">
        <f t="shared" ref="J7:J14" ca="1" si="4">IF($O$9=0,0,E7/$O$9*1000)*1000</f>
        <v>11.503311967848573</v>
      </c>
      <c r="K7" s="23">
        <v>6.8</v>
      </c>
      <c r="L7" s="79"/>
      <c r="M7" s="43" t="s">
        <v>21</v>
      </c>
      <c r="N7" s="85"/>
      <c r="O7" s="86">
        <f>'semana 1'!O7+N7</f>
        <v>0</v>
      </c>
      <c r="P7" s="85"/>
      <c r="Q7" s="87"/>
      <c r="R7" s="79"/>
    </row>
    <row r="8" spans="1:19" ht="14.15" customHeight="1" x14ac:dyDescent="0.35">
      <c r="A8" s="79"/>
      <c r="B8" s="74" t="s">
        <v>22</v>
      </c>
      <c r="C8" s="92" t="s">
        <v>18</v>
      </c>
      <c r="D8" s="125">
        <v>2520</v>
      </c>
      <c r="E8" s="86">
        <f t="shared" ca="1" si="0"/>
        <v>5560</v>
      </c>
      <c r="F8" s="20">
        <v>15</v>
      </c>
      <c r="G8" s="126">
        <f t="shared" si="1"/>
        <v>37800</v>
      </c>
      <c r="H8" s="126">
        <f t="shared" ca="1" si="2"/>
        <v>76742.399999999994</v>
      </c>
      <c r="I8" s="128">
        <f t="shared" si="3"/>
        <v>972.34676663831942</v>
      </c>
      <c r="J8" s="128">
        <f t="shared" ca="1" si="4"/>
        <v>913.69163630340074</v>
      </c>
      <c r="K8" s="23">
        <v>400</v>
      </c>
      <c r="L8" s="79"/>
      <c r="M8" s="49" t="s">
        <v>23</v>
      </c>
      <c r="N8" s="94">
        <v>2591668</v>
      </c>
      <c r="O8" s="86">
        <f ca="1">INDIRECT("'" &amp; $S$2 &amp; "'!O" &amp; ROW()) + N8</f>
        <v>6085204</v>
      </c>
      <c r="P8" s="94">
        <v>1891659</v>
      </c>
      <c r="Q8" s="87"/>
      <c r="R8" s="79"/>
    </row>
    <row r="9" spans="1:19" ht="14.15" customHeight="1" x14ac:dyDescent="0.35">
      <c r="A9" s="79"/>
      <c r="B9" s="74" t="s">
        <v>24</v>
      </c>
      <c r="C9" s="92" t="s">
        <v>18</v>
      </c>
      <c r="D9" s="125">
        <v>1445.67</v>
      </c>
      <c r="E9" s="86">
        <f t="shared" ca="1" si="0"/>
        <v>2251.98</v>
      </c>
      <c r="F9" s="20">
        <v>25.15</v>
      </c>
      <c r="G9" s="126">
        <f t="shared" si="1"/>
        <v>36358.6005</v>
      </c>
      <c r="H9" s="126">
        <f t="shared" ca="1" si="2"/>
        <v>56637.296999999999</v>
      </c>
      <c r="I9" s="128">
        <f t="shared" si="3"/>
        <v>557.81450401826157</v>
      </c>
      <c r="J9" s="128">
        <f t="shared" ca="1" si="4"/>
        <v>370.07469264793752</v>
      </c>
      <c r="K9" s="23">
        <v>200</v>
      </c>
      <c r="L9" s="79"/>
      <c r="M9" s="34" t="s">
        <v>25</v>
      </c>
      <c r="N9" s="95">
        <f>SUM(N7:N8)</f>
        <v>2591668</v>
      </c>
      <c r="O9" s="95">
        <f ca="1">SUM(O7:O8)</f>
        <v>6085204</v>
      </c>
      <c r="P9" s="96"/>
      <c r="Q9" s="97"/>
      <c r="R9" s="79"/>
    </row>
    <row r="10" spans="1:19" ht="14.15" customHeight="1" x14ac:dyDescent="0.35">
      <c r="A10" s="79"/>
      <c r="B10" s="74" t="s">
        <v>26</v>
      </c>
      <c r="C10" s="92" t="s">
        <v>18</v>
      </c>
      <c r="D10" s="125">
        <v>50</v>
      </c>
      <c r="E10" s="86">
        <f t="shared" ca="1" si="0"/>
        <v>50</v>
      </c>
      <c r="F10" s="20">
        <v>10.98</v>
      </c>
      <c r="G10" s="126">
        <f t="shared" si="1"/>
        <v>549</v>
      </c>
      <c r="H10" s="126">
        <f t="shared" ca="1" si="2"/>
        <v>549</v>
      </c>
      <c r="I10" s="128">
        <f t="shared" si="3"/>
        <v>19.292594576157132</v>
      </c>
      <c r="J10" s="128">
        <f t="shared" ca="1" si="4"/>
        <v>8.2166514056061235</v>
      </c>
      <c r="K10" s="23">
        <v>10</v>
      </c>
      <c r="L10" s="79"/>
      <c r="M10" s="38" t="s">
        <v>27</v>
      </c>
      <c r="N10" s="98">
        <f>SUM(N5:N6)</f>
        <v>61456</v>
      </c>
      <c r="O10" s="98">
        <f ca="1">SUM(O5:O6)</f>
        <v>166834</v>
      </c>
      <c r="P10" s="99"/>
      <c r="Q10" s="100"/>
      <c r="R10" s="79"/>
    </row>
    <row r="11" spans="1:19" ht="14.15" customHeight="1" x14ac:dyDescent="0.35">
      <c r="A11" s="79"/>
      <c r="B11" s="74" t="s">
        <v>28</v>
      </c>
      <c r="C11" s="92" t="s">
        <v>18</v>
      </c>
      <c r="D11" s="125"/>
      <c r="E11" s="86">
        <f t="shared" ca="1" si="0"/>
        <v>2653.34</v>
      </c>
      <c r="F11" s="20">
        <v>4.13</v>
      </c>
      <c r="G11" s="126">
        <f t="shared" si="1"/>
        <v>0</v>
      </c>
      <c r="H11" s="126">
        <f t="shared" ca="1" si="2"/>
        <v>10958.2942</v>
      </c>
      <c r="I11" s="128">
        <f t="shared" si="3"/>
        <v>0</v>
      </c>
      <c r="J11" s="128">
        <f t="shared" ca="1" si="4"/>
        <v>436.03139681101902</v>
      </c>
      <c r="K11" s="23"/>
      <c r="L11" s="79"/>
      <c r="R11" s="79"/>
    </row>
    <row r="12" spans="1:19" ht="14.15" customHeight="1" x14ac:dyDescent="0.35">
      <c r="A12" s="79"/>
      <c r="B12" s="74" t="s">
        <v>29</v>
      </c>
      <c r="C12" s="92" t="s">
        <v>18</v>
      </c>
      <c r="D12" s="125">
        <v>725</v>
      </c>
      <c r="E12" s="86">
        <f t="shared" ca="1" si="0"/>
        <v>2225</v>
      </c>
      <c r="F12" s="20">
        <v>5.83</v>
      </c>
      <c r="G12" s="126">
        <f t="shared" si="1"/>
        <v>4226.75</v>
      </c>
      <c r="H12" s="126">
        <f t="shared" ca="1" si="2"/>
        <v>12971.75</v>
      </c>
      <c r="I12" s="128">
        <f t="shared" si="3"/>
        <v>279.74262135427841</v>
      </c>
      <c r="J12" s="128">
        <f t="shared" ca="1" si="4"/>
        <v>365.64098754947241</v>
      </c>
      <c r="K12" s="23">
        <v>400</v>
      </c>
      <c r="L12" s="79"/>
      <c r="M12" s="56" t="s">
        <v>30</v>
      </c>
      <c r="N12" s="101"/>
      <c r="O12" s="101"/>
      <c r="P12" s="101"/>
      <c r="R12" s="79"/>
    </row>
    <row r="13" spans="1:19" ht="14.15" customHeight="1" x14ac:dyDescent="0.35">
      <c r="A13" s="79"/>
      <c r="B13" s="74" t="s">
        <v>31</v>
      </c>
      <c r="C13" s="92" t="s">
        <v>18</v>
      </c>
      <c r="D13" s="125">
        <v>580</v>
      </c>
      <c r="E13" s="86">
        <f t="shared" ca="1" si="0"/>
        <v>870.01</v>
      </c>
      <c r="F13" s="20">
        <v>6</v>
      </c>
      <c r="G13" s="126">
        <f t="shared" si="1"/>
        <v>3480</v>
      </c>
      <c r="H13" s="126">
        <f t="shared" ca="1" si="2"/>
        <v>5220.0599999999995</v>
      </c>
      <c r="I13" s="128">
        <f t="shared" si="3"/>
        <v>223.79409708342271</v>
      </c>
      <c r="J13" s="128">
        <f t="shared" ca="1" si="4"/>
        <v>142.97137778782763</v>
      </c>
      <c r="K13" s="23">
        <v>500</v>
      </c>
      <c r="L13" s="79"/>
      <c r="M13" s="43" t="s">
        <v>32</v>
      </c>
      <c r="N13" s="44" t="s">
        <v>0</v>
      </c>
      <c r="O13" s="44" t="s">
        <v>34</v>
      </c>
      <c r="P13" s="44" t="s">
        <v>90</v>
      </c>
      <c r="R13" s="79"/>
    </row>
    <row r="14" spans="1:19" ht="14.15" customHeight="1" x14ac:dyDescent="0.35">
      <c r="A14" s="79"/>
      <c r="B14" s="102" t="s">
        <v>35</v>
      </c>
      <c r="C14" s="103" t="s">
        <v>18</v>
      </c>
      <c r="D14" s="125"/>
      <c r="E14" s="86">
        <f t="shared" ca="1" si="0"/>
        <v>15</v>
      </c>
      <c r="F14" s="20">
        <v>425</v>
      </c>
      <c r="G14" s="126">
        <f t="shared" si="1"/>
        <v>0</v>
      </c>
      <c r="H14" s="126">
        <f t="shared" ca="1" si="2"/>
        <v>6375</v>
      </c>
      <c r="I14" s="128">
        <f t="shared" si="3"/>
        <v>0</v>
      </c>
      <c r="J14" s="128">
        <f t="shared" ca="1" si="4"/>
        <v>2.4649954216818366</v>
      </c>
      <c r="K14" s="23">
        <v>3</v>
      </c>
      <c r="L14" s="79"/>
      <c r="M14" s="43" t="s">
        <v>37</v>
      </c>
      <c r="N14" s="104">
        <v>34518.718999999997</v>
      </c>
      <c r="O14" s="105">
        <f ca="1">INDIRECT("'" &amp; $S$2 &amp; "'!O" &amp; ROW()) + N14</f>
        <v>86646.426999999996</v>
      </c>
      <c r="P14" s="105">
        <v>35394.239999999998</v>
      </c>
      <c r="R14" s="79"/>
    </row>
    <row r="15" spans="1:19" ht="14.5" x14ac:dyDescent="0.3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49" t="s">
        <v>38</v>
      </c>
      <c r="N15" s="107">
        <v>24985.721000000001</v>
      </c>
      <c r="O15" s="105">
        <f ca="1">INDIRECT("'" &amp; $S$2 &amp; "'!O" &amp; ROW()) + N15</f>
        <v>75262.953000000009</v>
      </c>
      <c r="P15" s="105">
        <v>58637.279999999999</v>
      </c>
      <c r="R15" s="79"/>
    </row>
    <row r="16" spans="1:19" ht="14.5" x14ac:dyDescent="0.35">
      <c r="A16" s="79"/>
      <c r="B16" s="82" t="s">
        <v>39</v>
      </c>
      <c r="C16" s="82"/>
      <c r="D16" s="82" t="s">
        <v>5</v>
      </c>
      <c r="E16" s="82"/>
      <c r="F16" s="136" t="s">
        <v>6</v>
      </c>
      <c r="G16" s="136"/>
      <c r="H16" s="136"/>
      <c r="I16" s="136" t="s">
        <v>40</v>
      </c>
      <c r="J16" s="136"/>
      <c r="K16" s="82"/>
      <c r="L16" s="108"/>
      <c r="M16" s="52" t="s">
        <v>41</v>
      </c>
      <c r="N16" s="109">
        <f>SUM(N14:N15)</f>
        <v>59504.44</v>
      </c>
      <c r="O16" s="109">
        <f ca="1">SUM(O14:O15)</f>
        <v>161909.38</v>
      </c>
      <c r="P16" s="110">
        <f>P15+P14</f>
        <v>94031.51999999999</v>
      </c>
      <c r="Q16" s="108"/>
      <c r="R16" s="79"/>
    </row>
    <row r="17" spans="1:18" ht="14.5" x14ac:dyDescent="0.35">
      <c r="A17" s="79"/>
      <c r="B17" s="10"/>
      <c r="C17" s="10"/>
      <c r="D17" s="10" t="s">
        <v>12</v>
      </c>
      <c r="E17" s="10" t="s">
        <v>13</v>
      </c>
      <c r="F17" s="10" t="s">
        <v>14</v>
      </c>
      <c r="G17" s="10" t="s">
        <v>0</v>
      </c>
      <c r="H17" s="10" t="s">
        <v>13</v>
      </c>
      <c r="I17" s="10" t="s">
        <v>0</v>
      </c>
      <c r="J17" s="10" t="s">
        <v>13</v>
      </c>
      <c r="K17" s="10" t="s">
        <v>15</v>
      </c>
      <c r="L17" s="79"/>
      <c r="Q17" s="79"/>
      <c r="R17" s="79"/>
    </row>
    <row r="18" spans="1:18" ht="14.15" customHeight="1" x14ac:dyDescent="0.35">
      <c r="A18" s="79"/>
      <c r="B18" s="88" t="s">
        <v>42</v>
      </c>
      <c r="C18" s="89" t="s">
        <v>18</v>
      </c>
      <c r="D18" s="125">
        <v>325</v>
      </c>
      <c r="E18" s="86">
        <f t="shared" ref="E18:E27" ca="1" si="5">INDIRECT("'" &amp; $S$2 &amp; "'!E" &amp; ROW()) + D18</f>
        <v>1050</v>
      </c>
      <c r="F18" s="20">
        <v>21</v>
      </c>
      <c r="G18" s="126">
        <f t="shared" ref="G18:G27" si="6">D18*F18</f>
        <v>6825</v>
      </c>
      <c r="H18" s="126">
        <f t="shared" ref="H18:H27" ca="1" si="7">INDIRECT("'" &amp; $S$2 &amp; "'!H" &amp; ROW()) + G18</f>
        <v>22050</v>
      </c>
      <c r="I18" s="127">
        <f t="shared" ref="I18:I27" si="8">IF($N$10=0,0,D18/$N$16*1000)</f>
        <v>5.4617773060296004</v>
      </c>
      <c r="J18" s="127">
        <f t="shared" ref="J18:J27" ca="1" si="9">IF($O$10=0,0,E18/$O$16*1000)</f>
        <v>6.4851091394457816</v>
      </c>
      <c r="K18" s="55">
        <v>6.1</v>
      </c>
      <c r="L18" s="79"/>
      <c r="M18" s="56" t="s">
        <v>43</v>
      </c>
      <c r="N18" s="57" t="s">
        <v>0</v>
      </c>
      <c r="O18" s="57" t="s">
        <v>34</v>
      </c>
      <c r="Q18" s="79"/>
      <c r="R18" s="79"/>
    </row>
    <row r="19" spans="1:18" ht="14.15" customHeight="1" x14ac:dyDescent="0.35">
      <c r="A19" s="79"/>
      <c r="B19" s="74" t="s">
        <v>45</v>
      </c>
      <c r="C19" s="92" t="s">
        <v>18</v>
      </c>
      <c r="D19" s="125">
        <v>425</v>
      </c>
      <c r="E19" s="86">
        <f t="shared" ca="1" si="5"/>
        <v>1100</v>
      </c>
      <c r="F19" s="20">
        <v>15.63</v>
      </c>
      <c r="G19" s="126">
        <f t="shared" si="6"/>
        <v>6642.75</v>
      </c>
      <c r="H19" s="126">
        <f t="shared" ca="1" si="7"/>
        <v>17193</v>
      </c>
      <c r="I19" s="127">
        <f t="shared" si="8"/>
        <v>7.1423241694233237</v>
      </c>
      <c r="J19" s="127">
        <f t="shared" ca="1" si="9"/>
        <v>6.7939238603717707</v>
      </c>
      <c r="K19" s="55">
        <v>9</v>
      </c>
      <c r="L19" s="79"/>
      <c r="M19" s="43" t="s">
        <v>46</v>
      </c>
      <c r="N19" s="58">
        <f>SUM(G6:G14)</f>
        <v>103900.7693</v>
      </c>
      <c r="O19" s="126">
        <f ca="1">INDIRECT("'" &amp; $S$2 &amp; "'!O" &amp; ROW()) + N19</f>
        <v>298325.3088</v>
      </c>
      <c r="Q19" s="79"/>
      <c r="R19" s="79"/>
    </row>
    <row r="20" spans="1:18" ht="14.15" customHeight="1" x14ac:dyDescent="0.35">
      <c r="A20" s="79"/>
      <c r="B20" s="74" t="s">
        <v>47</v>
      </c>
      <c r="C20" s="92" t="s">
        <v>18</v>
      </c>
      <c r="D20" s="125"/>
      <c r="E20" s="86">
        <f t="shared" ca="1" si="5"/>
        <v>1000</v>
      </c>
      <c r="F20" s="20">
        <v>6.7</v>
      </c>
      <c r="G20" s="126">
        <f t="shared" si="6"/>
        <v>0</v>
      </c>
      <c r="H20" s="126">
        <f t="shared" ca="1" si="7"/>
        <v>6700</v>
      </c>
      <c r="I20" s="127">
        <f t="shared" si="8"/>
        <v>0</v>
      </c>
      <c r="J20" s="127">
        <f t="shared" ca="1" si="9"/>
        <v>6.1762944185197917</v>
      </c>
      <c r="K20" s="55">
        <v>51</v>
      </c>
      <c r="L20" s="79"/>
      <c r="M20" s="43" t="s">
        <v>48</v>
      </c>
      <c r="N20" s="58">
        <f>SUM(G18:G27)+G51</f>
        <v>66002.840100000001</v>
      </c>
      <c r="O20" s="126">
        <f ca="1">INDIRECT("'" &amp; $S$2 &amp; "'!O" &amp; ROW()) + N20</f>
        <v>203647.33560000002</v>
      </c>
      <c r="Q20" s="79"/>
      <c r="R20" s="79"/>
    </row>
    <row r="21" spans="1:18" ht="14.15" customHeight="1" x14ac:dyDescent="0.35">
      <c r="A21" s="79"/>
      <c r="B21" s="74" t="s">
        <v>49</v>
      </c>
      <c r="C21" s="92" t="s">
        <v>18</v>
      </c>
      <c r="D21" s="125"/>
      <c r="E21" s="86">
        <f t="shared" ca="1" si="5"/>
        <v>0</v>
      </c>
      <c r="F21" s="20">
        <v>5.85</v>
      </c>
      <c r="G21" s="126">
        <f t="shared" si="6"/>
        <v>0</v>
      </c>
      <c r="H21" s="126">
        <f t="shared" ca="1" si="7"/>
        <v>0</v>
      </c>
      <c r="I21" s="127">
        <f t="shared" si="8"/>
        <v>0</v>
      </c>
      <c r="J21" s="127">
        <f t="shared" ca="1" si="9"/>
        <v>0</v>
      </c>
      <c r="K21" s="55"/>
      <c r="L21" s="79"/>
      <c r="M21" s="43" t="s">
        <v>50</v>
      </c>
      <c r="N21" s="58">
        <f>SUM(G30:G37)</f>
        <v>8267.8052000000007</v>
      </c>
      <c r="O21" s="126">
        <f ca="1">INDIRECT("'" &amp; $S$2 &amp; "'!O" &amp; ROW()) + N21</f>
        <v>21862.4787</v>
      </c>
      <c r="Q21" s="79"/>
      <c r="R21" s="79"/>
    </row>
    <row r="22" spans="1:18" ht="14.15" customHeight="1" x14ac:dyDescent="0.35">
      <c r="A22" s="79"/>
      <c r="B22" s="74" t="s">
        <v>51</v>
      </c>
      <c r="C22" s="92" t="s">
        <v>18</v>
      </c>
      <c r="D22" s="125">
        <v>26296.6</v>
      </c>
      <c r="E22" s="86">
        <f t="shared" ca="1" si="5"/>
        <v>92592.6</v>
      </c>
      <c r="F22" s="20">
        <v>1.03</v>
      </c>
      <c r="G22" s="126">
        <f t="shared" si="6"/>
        <v>27085.498</v>
      </c>
      <c r="H22" s="126">
        <f t="shared" ca="1" si="7"/>
        <v>95370.377999999997</v>
      </c>
      <c r="I22" s="127">
        <f t="shared" si="8"/>
        <v>441.92668647919373</v>
      </c>
      <c r="J22" s="127">
        <f t="shared" ca="1" si="9"/>
        <v>571.87915857623568</v>
      </c>
      <c r="K22" s="55">
        <v>1000</v>
      </c>
      <c r="L22" s="79"/>
      <c r="M22" s="49" t="s">
        <v>52</v>
      </c>
      <c r="N22" s="58">
        <f>SUM(G40:G53)-G51</f>
        <v>13355.406000000003</v>
      </c>
      <c r="O22" s="126">
        <f ca="1">INDIRECT("'" &amp; $S$2 &amp; "'!O" &amp; ROW()) + N22</f>
        <v>50704.327600000004</v>
      </c>
      <c r="Q22" s="79"/>
      <c r="R22" s="79"/>
    </row>
    <row r="23" spans="1:18" ht="14.15" customHeight="1" x14ac:dyDescent="0.35">
      <c r="A23" s="79"/>
      <c r="B23" s="74" t="s">
        <v>29</v>
      </c>
      <c r="C23" s="92" t="s">
        <v>18</v>
      </c>
      <c r="D23" s="125">
        <v>600</v>
      </c>
      <c r="E23" s="86">
        <f t="shared" ca="1" si="5"/>
        <v>1950</v>
      </c>
      <c r="F23" s="20">
        <v>5.83</v>
      </c>
      <c r="G23" s="126">
        <f t="shared" si="6"/>
        <v>3498</v>
      </c>
      <c r="H23" s="126">
        <f t="shared" ca="1" si="7"/>
        <v>11368.5</v>
      </c>
      <c r="I23" s="127">
        <f t="shared" si="8"/>
        <v>10.08328118036234</v>
      </c>
      <c r="J23" s="127">
        <f t="shared" ca="1" si="9"/>
        <v>12.043774116113592</v>
      </c>
      <c r="K23" s="55">
        <v>13</v>
      </c>
      <c r="L23" s="79"/>
      <c r="M23" s="52" t="s">
        <v>53</v>
      </c>
      <c r="N23" s="112">
        <f>SUM(N19:N22)</f>
        <v>191526.82060000004</v>
      </c>
      <c r="O23" s="113">
        <f ca="1">SUM(O19:O22)</f>
        <v>574539.45069999993</v>
      </c>
      <c r="Q23" s="79"/>
      <c r="R23" s="79"/>
    </row>
    <row r="24" spans="1:18" ht="14.15" customHeight="1" x14ac:dyDescent="0.35">
      <c r="A24" s="79"/>
      <c r="B24" s="74" t="s">
        <v>54</v>
      </c>
      <c r="C24" s="92" t="s">
        <v>18</v>
      </c>
      <c r="D24" s="125">
        <v>1239.4100000000001</v>
      </c>
      <c r="E24" s="86">
        <f t="shared" ca="1" si="5"/>
        <v>2330</v>
      </c>
      <c r="F24" s="20">
        <v>8</v>
      </c>
      <c r="G24" s="126">
        <f t="shared" si="6"/>
        <v>9915.2800000000007</v>
      </c>
      <c r="H24" s="126">
        <f t="shared" ca="1" si="7"/>
        <v>18640</v>
      </c>
      <c r="I24" s="127">
        <f t="shared" si="8"/>
        <v>20.828865879588143</v>
      </c>
      <c r="J24" s="127">
        <f t="shared" ca="1" si="9"/>
        <v>14.390765995151114</v>
      </c>
      <c r="K24" s="55">
        <v>2.8</v>
      </c>
      <c r="L24" s="79"/>
      <c r="P24" s="79"/>
      <c r="Q24" s="79"/>
      <c r="R24" s="79"/>
    </row>
    <row r="25" spans="1:18" ht="14.15" customHeight="1" x14ac:dyDescent="0.35">
      <c r="A25" s="79"/>
      <c r="B25" s="74" t="s">
        <v>55</v>
      </c>
      <c r="C25" s="92" t="s">
        <v>18</v>
      </c>
      <c r="D25" s="125">
        <v>1863.52</v>
      </c>
      <c r="E25" s="86">
        <f t="shared" ca="1" si="5"/>
        <v>5331.75</v>
      </c>
      <c r="F25" s="20">
        <v>5.85</v>
      </c>
      <c r="G25" s="126">
        <f t="shared" si="6"/>
        <v>10901.591999999999</v>
      </c>
      <c r="H25" s="126">
        <f t="shared" ca="1" si="7"/>
        <v>31190.737499999996</v>
      </c>
      <c r="I25" s="127">
        <f t="shared" si="8"/>
        <v>31.317326908714708</v>
      </c>
      <c r="J25" s="127">
        <f t="shared" ca="1" si="9"/>
        <v>32.930457765942897</v>
      </c>
      <c r="K25" s="55">
        <v>28</v>
      </c>
      <c r="L25" s="79"/>
      <c r="M25" s="56" t="s">
        <v>56</v>
      </c>
      <c r="N25" s="56" t="s">
        <v>9</v>
      </c>
      <c r="O25" s="56"/>
      <c r="P25" s="56" t="s">
        <v>11</v>
      </c>
      <c r="Q25" s="56"/>
      <c r="R25" s="79"/>
    </row>
    <row r="26" spans="1:18" ht="14.15" customHeight="1" x14ac:dyDescent="0.35">
      <c r="A26" s="79"/>
      <c r="B26" s="74" t="s">
        <v>58</v>
      </c>
      <c r="C26" s="103" t="s">
        <v>36</v>
      </c>
      <c r="D26" s="125"/>
      <c r="E26" s="86">
        <f t="shared" ca="1" si="5"/>
        <v>0</v>
      </c>
      <c r="F26" s="20">
        <v>6.98</v>
      </c>
      <c r="G26" s="126">
        <f t="shared" si="6"/>
        <v>0</v>
      </c>
      <c r="H26" s="126">
        <f t="shared" ca="1" si="7"/>
        <v>0</v>
      </c>
      <c r="I26" s="127">
        <f t="shared" si="8"/>
        <v>0</v>
      </c>
      <c r="J26" s="127">
        <f t="shared" ca="1" si="9"/>
        <v>0</v>
      </c>
      <c r="K26" s="55">
        <v>21.3</v>
      </c>
      <c r="L26" s="79"/>
      <c r="M26" s="43" t="s">
        <v>46</v>
      </c>
      <c r="N26" s="114">
        <f>IF($N$9=0,0,N19/$N$9*1000)</f>
        <v>40.090308365114666</v>
      </c>
      <c r="O26" s="44" t="s">
        <v>59</v>
      </c>
      <c r="P26" s="114">
        <f ca="1">IF($O$9=0,0,O19/$O$9*1000)</f>
        <v>49.024701357588015</v>
      </c>
      <c r="Q26" s="44" t="s">
        <v>59</v>
      </c>
      <c r="R26" s="79"/>
    </row>
    <row r="27" spans="1:18" ht="14.15" customHeight="1" x14ac:dyDescent="0.35">
      <c r="A27" s="79"/>
      <c r="B27" s="74" t="s">
        <v>86</v>
      </c>
      <c r="C27" s="103" t="s">
        <v>36</v>
      </c>
      <c r="D27" s="75"/>
      <c r="E27" s="86">
        <f t="shared" ca="1" si="5"/>
        <v>0</v>
      </c>
      <c r="F27" s="115"/>
      <c r="G27" s="126">
        <f t="shared" si="6"/>
        <v>0</v>
      </c>
      <c r="H27" s="126">
        <f t="shared" ca="1" si="7"/>
        <v>0</v>
      </c>
      <c r="I27" s="127">
        <f t="shared" si="8"/>
        <v>0</v>
      </c>
      <c r="J27" s="127">
        <f t="shared" ca="1" si="9"/>
        <v>0</v>
      </c>
      <c r="K27" s="55">
        <v>3.6</v>
      </c>
      <c r="L27" s="108"/>
      <c r="M27" s="43" t="s">
        <v>48</v>
      </c>
      <c r="N27" s="114">
        <f>IF($N$10=0,0,N20/$N$16)</f>
        <v>1.1092086590513246</v>
      </c>
      <c r="O27" s="44" t="s">
        <v>60</v>
      </c>
      <c r="P27" s="114">
        <f ca="1">IF($O$10=0,0,O20/$O$16)</f>
        <v>1.2577859022127069</v>
      </c>
      <c r="Q27" s="44" t="s">
        <v>60</v>
      </c>
    </row>
    <row r="28" spans="1:18" ht="14.5" x14ac:dyDescent="0.35">
      <c r="A28" s="79"/>
      <c r="B28" s="82" t="s">
        <v>62</v>
      </c>
      <c r="C28" s="82"/>
      <c r="D28" s="82" t="s">
        <v>5</v>
      </c>
      <c r="E28" s="82"/>
      <c r="F28" s="82" t="s">
        <v>6</v>
      </c>
      <c r="G28" s="82"/>
      <c r="H28" s="82"/>
      <c r="I28" s="82" t="s">
        <v>40</v>
      </c>
      <c r="J28" s="82"/>
      <c r="K28" s="82"/>
      <c r="L28" s="79"/>
      <c r="M28" s="43" t="s">
        <v>50</v>
      </c>
      <c r="N28" s="114">
        <f>IF($N$16=0,0,N21/$N$16)</f>
        <v>0.13894434096010316</v>
      </c>
      <c r="O28" s="44" t="s">
        <v>60</v>
      </c>
      <c r="P28" s="114">
        <f ca="1">IF($O$16=0,0,O21/$O$16)</f>
        <v>0.13502910516981784</v>
      </c>
      <c r="Q28" s="44" t="s">
        <v>60</v>
      </c>
    </row>
    <row r="29" spans="1:18" ht="14.5" x14ac:dyDescent="0.35">
      <c r="A29" s="79"/>
      <c r="B29" s="10"/>
      <c r="C29" s="10"/>
      <c r="D29" s="10" t="s">
        <v>12</v>
      </c>
      <c r="E29" s="10" t="s">
        <v>13</v>
      </c>
      <c r="F29" s="10" t="s">
        <v>14</v>
      </c>
      <c r="G29" s="10" t="s">
        <v>0</v>
      </c>
      <c r="H29" s="10" t="s">
        <v>13</v>
      </c>
      <c r="I29" s="10" t="s">
        <v>0</v>
      </c>
      <c r="J29" s="10" t="s">
        <v>13</v>
      </c>
      <c r="K29" s="10" t="s">
        <v>15</v>
      </c>
      <c r="L29" s="79"/>
      <c r="M29" s="49" t="s">
        <v>52</v>
      </c>
      <c r="N29" s="116">
        <f>IF($N$16=0,0,N22/$N$16)</f>
        <v>0.22444385662649716</v>
      </c>
      <c r="O29" s="117" t="s">
        <v>60</v>
      </c>
      <c r="P29" s="116">
        <f ca="1">IF($O$16=0,0,O22/$O$16)</f>
        <v>0.31316485555067902</v>
      </c>
      <c r="Q29" s="117" t="s">
        <v>60</v>
      </c>
    </row>
    <row r="30" spans="1:18" ht="14.15" customHeight="1" x14ac:dyDescent="0.35">
      <c r="A30" s="79"/>
      <c r="B30" s="88" t="s">
        <v>63</v>
      </c>
      <c r="C30" s="89" t="s">
        <v>18</v>
      </c>
      <c r="D30" s="125"/>
      <c r="E30" s="86">
        <f t="shared" ref="E30:E36" ca="1" si="10">INDIRECT("'" &amp; $S$2 &amp; "'!E" &amp; ROW()) + D30</f>
        <v>0</v>
      </c>
      <c r="F30" s="20">
        <v>1.03</v>
      </c>
      <c r="G30" s="126">
        <f t="shared" ref="G30:G36" si="11">D30*F30</f>
        <v>0</v>
      </c>
      <c r="H30" s="126">
        <f t="shared" ref="H30:H36" ca="1" si="12">INDIRECT("'" &amp; $S$2 &amp; "'!H" &amp; ROW()) + G30</f>
        <v>0</v>
      </c>
      <c r="I30" s="128">
        <f t="shared" ref="I30:I36" si="13">IF($N$16=0,0,D30/$N$16*1000)</f>
        <v>0</v>
      </c>
      <c r="J30" s="128">
        <f t="shared" ref="J30:J36" ca="1" si="14">IF($O$16=0,0,E30/$O$16*1000)</f>
        <v>0</v>
      </c>
      <c r="K30" s="23">
        <v>0</v>
      </c>
      <c r="L30" s="79"/>
      <c r="M30" s="52" t="s">
        <v>64</v>
      </c>
      <c r="N30" s="119">
        <f>IF($N$16=0,0,N23/$N$16)</f>
        <v>3.2186979761510237</v>
      </c>
      <c r="O30" s="120" t="s">
        <v>60</v>
      </c>
      <c r="P30" s="119">
        <f ca="1">IF($O$16=0,0,O23/$O$16)</f>
        <v>3.5485248025778366</v>
      </c>
      <c r="Q30" s="121" t="s">
        <v>60</v>
      </c>
    </row>
    <row r="31" spans="1:18" ht="14.15" customHeight="1" x14ac:dyDescent="0.35">
      <c r="A31" s="79"/>
      <c r="B31" s="74" t="s">
        <v>29</v>
      </c>
      <c r="C31" s="92" t="s">
        <v>18</v>
      </c>
      <c r="D31" s="125">
        <v>50</v>
      </c>
      <c r="E31" s="86">
        <f t="shared" ca="1" si="10"/>
        <v>75</v>
      </c>
      <c r="F31" s="20">
        <v>5.83</v>
      </c>
      <c r="G31" s="126">
        <f t="shared" si="11"/>
        <v>291.5</v>
      </c>
      <c r="H31" s="126">
        <f t="shared" ca="1" si="12"/>
        <v>437.25</v>
      </c>
      <c r="I31" s="128">
        <f t="shared" si="13"/>
        <v>0.84027343169686164</v>
      </c>
      <c r="J31" s="128">
        <f t="shared" ca="1" si="14"/>
        <v>0.46322208138898435</v>
      </c>
      <c r="K31" s="23">
        <v>1.5</v>
      </c>
      <c r="L31" s="79"/>
    </row>
    <row r="32" spans="1:18" ht="14.15" customHeight="1" x14ac:dyDescent="0.35">
      <c r="A32" s="79"/>
      <c r="B32" s="74" t="s">
        <v>65</v>
      </c>
      <c r="C32" s="92" t="s">
        <v>18</v>
      </c>
      <c r="D32" s="125">
        <v>676.48</v>
      </c>
      <c r="E32" s="86">
        <f t="shared" ca="1" si="10"/>
        <v>1994.13</v>
      </c>
      <c r="F32" s="20">
        <v>8.99</v>
      </c>
      <c r="G32" s="126">
        <f t="shared" si="11"/>
        <v>6081.5552000000007</v>
      </c>
      <c r="H32" s="126">
        <f t="shared" ca="1" si="12"/>
        <v>17927.2287</v>
      </c>
      <c r="I32" s="128">
        <f t="shared" si="13"/>
        <v>11.368563421485858</v>
      </c>
      <c r="J32" s="128">
        <f t="shared" ca="1" si="14"/>
        <v>12.316333988802873</v>
      </c>
      <c r="K32" s="23">
        <v>8</v>
      </c>
      <c r="L32" s="79"/>
    </row>
    <row r="33" spans="1:18" ht="14.15" customHeight="1" x14ac:dyDescent="0.35">
      <c r="A33" s="79"/>
      <c r="B33" s="102" t="s">
        <v>66</v>
      </c>
      <c r="C33" s="103" t="s">
        <v>18</v>
      </c>
      <c r="D33" s="125"/>
      <c r="E33" s="86">
        <f t="shared" ca="1" si="10"/>
        <v>0</v>
      </c>
      <c r="F33" s="20">
        <v>24</v>
      </c>
      <c r="G33" s="126">
        <f t="shared" si="11"/>
        <v>0</v>
      </c>
      <c r="H33" s="126">
        <f t="shared" ca="1" si="12"/>
        <v>0</v>
      </c>
      <c r="I33" s="128">
        <f t="shared" si="13"/>
        <v>0</v>
      </c>
      <c r="J33" s="128">
        <f t="shared" ca="1" si="14"/>
        <v>0</v>
      </c>
      <c r="K33" s="23">
        <v>0</v>
      </c>
      <c r="L33" s="79"/>
      <c r="M33" s="79"/>
      <c r="N33" s="79"/>
      <c r="O33" s="79"/>
      <c r="P33" s="79"/>
      <c r="Q33" s="79"/>
      <c r="R33" s="79"/>
    </row>
    <row r="34" spans="1:18" ht="14.15" customHeight="1" x14ac:dyDescent="0.35">
      <c r="A34" s="79"/>
      <c r="B34" s="102" t="s">
        <v>67</v>
      </c>
      <c r="C34" s="103" t="s">
        <v>36</v>
      </c>
      <c r="D34" s="75">
        <v>200</v>
      </c>
      <c r="E34" s="86">
        <f t="shared" ca="1" si="10"/>
        <v>350</v>
      </c>
      <c r="F34" s="20">
        <v>5.83</v>
      </c>
      <c r="G34" s="126">
        <f t="shared" si="11"/>
        <v>1166</v>
      </c>
      <c r="H34" s="126">
        <f t="shared" ca="1" si="12"/>
        <v>2040.5</v>
      </c>
      <c r="I34" s="128">
        <f t="shared" si="13"/>
        <v>3.3610937267874466</v>
      </c>
      <c r="J34" s="128">
        <f t="shared" ca="1" si="14"/>
        <v>2.1617030464819269</v>
      </c>
      <c r="K34" s="23">
        <v>2</v>
      </c>
      <c r="L34" s="79"/>
      <c r="M34" s="79"/>
      <c r="N34" s="79"/>
      <c r="O34" s="79"/>
      <c r="P34" s="79"/>
      <c r="Q34" s="79"/>
      <c r="R34" s="79"/>
    </row>
    <row r="35" spans="1:18" ht="14.15" customHeight="1" x14ac:dyDescent="0.35">
      <c r="A35" s="79"/>
      <c r="B35" s="102" t="s">
        <v>68</v>
      </c>
      <c r="C35" s="103" t="s">
        <v>18</v>
      </c>
      <c r="D35" s="75">
        <v>125</v>
      </c>
      <c r="E35" s="86">
        <f t="shared" ca="1" si="10"/>
        <v>250</v>
      </c>
      <c r="F35" s="20">
        <v>5.83</v>
      </c>
      <c r="G35" s="126">
        <f t="shared" si="11"/>
        <v>728.75</v>
      </c>
      <c r="H35" s="126">
        <f t="shared" ca="1" si="12"/>
        <v>1457.5</v>
      </c>
      <c r="I35" s="128">
        <f t="shared" si="13"/>
        <v>2.1006835792421543</v>
      </c>
      <c r="J35" s="128">
        <f t="shared" ca="1" si="14"/>
        <v>1.5440736046299479</v>
      </c>
      <c r="K35" s="23">
        <v>1</v>
      </c>
      <c r="L35" s="79"/>
      <c r="M35" s="79"/>
      <c r="N35" s="79"/>
      <c r="O35" s="79"/>
      <c r="P35" s="79"/>
      <c r="Q35" s="79"/>
      <c r="R35" s="79"/>
    </row>
    <row r="36" spans="1:18" ht="14.15" customHeight="1" x14ac:dyDescent="0.35">
      <c r="A36" s="79"/>
      <c r="B36" s="102" t="s">
        <v>69</v>
      </c>
      <c r="C36" s="103" t="s">
        <v>18</v>
      </c>
      <c r="D36" s="75"/>
      <c r="E36" s="86">
        <f t="shared" ca="1" si="10"/>
        <v>0</v>
      </c>
      <c r="F36" s="20">
        <v>5.83</v>
      </c>
      <c r="G36" s="126">
        <f t="shared" si="11"/>
        <v>0</v>
      </c>
      <c r="H36" s="126">
        <f t="shared" ca="1" si="12"/>
        <v>0</v>
      </c>
      <c r="I36" s="128">
        <f t="shared" si="13"/>
        <v>0</v>
      </c>
      <c r="J36" s="128">
        <f t="shared" ca="1" si="14"/>
        <v>0</v>
      </c>
      <c r="K36" s="23">
        <v>1</v>
      </c>
      <c r="L36" s="79"/>
      <c r="M36" s="79"/>
      <c r="N36" s="79"/>
      <c r="O36" s="79"/>
      <c r="P36" s="79"/>
      <c r="Q36" s="79"/>
      <c r="R36" s="79"/>
    </row>
    <row r="37" spans="1:18" ht="8.25" customHeight="1" x14ac:dyDescent="0.3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R37" s="79"/>
    </row>
    <row r="38" spans="1:18" ht="14.5" x14ac:dyDescent="0.35">
      <c r="A38" s="79"/>
      <c r="B38" s="82" t="s">
        <v>70</v>
      </c>
      <c r="C38" s="82"/>
      <c r="D38" s="82" t="s">
        <v>5</v>
      </c>
      <c r="E38" s="82"/>
      <c r="F38" s="82" t="s">
        <v>71</v>
      </c>
      <c r="G38" s="82"/>
      <c r="H38" s="82"/>
      <c r="I38" s="82" t="s">
        <v>72</v>
      </c>
      <c r="J38" s="82"/>
      <c r="K38" s="82"/>
      <c r="L38" s="108"/>
      <c r="M38" s="108"/>
      <c r="N38" s="108"/>
      <c r="O38" s="108"/>
      <c r="P38" s="108"/>
      <c r="Q38" s="108"/>
      <c r="R38" s="79"/>
    </row>
    <row r="39" spans="1:18" ht="15.75" customHeight="1" x14ac:dyDescent="0.35">
      <c r="A39" s="79"/>
      <c r="B39" s="10"/>
      <c r="C39" s="10"/>
      <c r="D39" s="10" t="s">
        <v>12</v>
      </c>
      <c r="E39" s="10" t="s">
        <v>13</v>
      </c>
      <c r="F39" s="10" t="s">
        <v>14</v>
      </c>
      <c r="G39" s="10" t="s">
        <v>0</v>
      </c>
      <c r="H39" s="10" t="s">
        <v>13</v>
      </c>
      <c r="I39" s="10" t="s">
        <v>0</v>
      </c>
      <c r="J39" s="10" t="s">
        <v>13</v>
      </c>
      <c r="K39" s="10" t="s">
        <v>15</v>
      </c>
      <c r="L39" s="79"/>
      <c r="M39" s="79"/>
      <c r="N39" s="79"/>
      <c r="O39" s="79"/>
      <c r="P39" s="79"/>
      <c r="Q39" s="79"/>
      <c r="R39" s="79"/>
    </row>
    <row r="40" spans="1:18" ht="12.75" customHeight="1" x14ac:dyDescent="0.35">
      <c r="A40" s="79"/>
      <c r="B40" s="88" t="s">
        <v>29</v>
      </c>
      <c r="C40" s="89" t="s">
        <v>18</v>
      </c>
      <c r="D40" s="125"/>
      <c r="E40" s="86">
        <f t="shared" ref="E40:E53" ca="1" si="15">INDIRECT("'" &amp; $S$2 &amp; "'!E" &amp; ROW()) + D40</f>
        <v>675</v>
      </c>
      <c r="F40" s="20">
        <v>5.83</v>
      </c>
      <c r="G40" s="126">
        <f t="shared" ref="G40:G53" si="16">D40*F40</f>
        <v>0</v>
      </c>
      <c r="H40" s="126">
        <f t="shared" ref="H40:H53" ca="1" si="17">INDIRECT("'" &amp; $S$2 &amp; "'!H" &amp; ROW()) + G40</f>
        <v>3935.25</v>
      </c>
      <c r="I40" s="127">
        <f t="shared" ref="I40:I53" si="18">IF($N$16=0,0,D40/$N$16*1000)</f>
        <v>0</v>
      </c>
      <c r="J40" s="127">
        <f t="shared" ref="J40:J53" ca="1" si="19">IF($O$16=0,0,E40/$O$16*1000)</f>
        <v>4.1689987325008593</v>
      </c>
      <c r="K40" s="55">
        <v>6</v>
      </c>
      <c r="L40" s="79"/>
      <c r="M40" s="79"/>
      <c r="N40" s="79"/>
      <c r="O40" s="79"/>
      <c r="P40" s="79"/>
      <c r="Q40" s="79"/>
      <c r="R40" s="79"/>
    </row>
    <row r="41" spans="1:18" ht="12.75" customHeight="1" x14ac:dyDescent="0.35">
      <c r="A41" s="79"/>
      <c r="B41" s="74" t="s">
        <v>73</v>
      </c>
      <c r="C41" s="92" t="s">
        <v>18</v>
      </c>
      <c r="D41" s="125">
        <v>150</v>
      </c>
      <c r="E41" s="86">
        <f t="shared" ca="1" si="15"/>
        <v>550</v>
      </c>
      <c r="F41" s="20">
        <v>37.840000000000003</v>
      </c>
      <c r="G41" s="126">
        <f t="shared" si="16"/>
        <v>5676.0000000000009</v>
      </c>
      <c r="H41" s="126">
        <f t="shared" ca="1" si="17"/>
        <v>20812.000000000004</v>
      </c>
      <c r="I41" s="127">
        <f t="shared" si="18"/>
        <v>2.5208202950905849</v>
      </c>
      <c r="J41" s="127">
        <f t="shared" ca="1" si="19"/>
        <v>3.3969619301858853</v>
      </c>
      <c r="K41" s="55">
        <v>3</v>
      </c>
      <c r="L41" s="79"/>
      <c r="M41" s="79"/>
      <c r="N41" s="79"/>
      <c r="O41" s="79"/>
      <c r="P41" s="79"/>
      <c r="Q41" s="79"/>
      <c r="R41" s="79"/>
    </row>
    <row r="42" spans="1:18" ht="12.75" customHeight="1" x14ac:dyDescent="0.35">
      <c r="A42" s="79"/>
      <c r="B42" s="74" t="s">
        <v>74</v>
      </c>
      <c r="C42" s="92" t="s">
        <v>18</v>
      </c>
      <c r="D42" s="125"/>
      <c r="E42" s="86">
        <f t="shared" ca="1" si="15"/>
        <v>38.5</v>
      </c>
      <c r="F42" s="20">
        <v>21</v>
      </c>
      <c r="G42" s="126">
        <f t="shared" si="16"/>
        <v>0</v>
      </c>
      <c r="H42" s="126">
        <f t="shared" ca="1" si="17"/>
        <v>808.5</v>
      </c>
      <c r="I42" s="127">
        <f t="shared" si="18"/>
        <v>0</v>
      </c>
      <c r="J42" s="127">
        <f t="shared" ca="1" si="19"/>
        <v>0.23778733511301198</v>
      </c>
      <c r="K42" s="55">
        <v>0.35</v>
      </c>
      <c r="L42" s="79"/>
      <c r="M42" s="129"/>
      <c r="N42" s="79"/>
      <c r="O42" s="79"/>
      <c r="P42" s="79"/>
      <c r="Q42" s="79"/>
      <c r="R42" s="79"/>
    </row>
    <row r="43" spans="1:18" ht="12.75" customHeight="1" x14ac:dyDescent="0.35">
      <c r="A43" s="79"/>
      <c r="B43" s="74" t="s">
        <v>75</v>
      </c>
      <c r="C43" s="92" t="s">
        <v>18</v>
      </c>
      <c r="D43" s="125">
        <v>345</v>
      </c>
      <c r="E43" s="86">
        <f t="shared" ca="1" si="15"/>
        <v>1380</v>
      </c>
      <c r="F43" s="20">
        <v>2.9</v>
      </c>
      <c r="G43" s="126">
        <f t="shared" si="16"/>
        <v>1000.5</v>
      </c>
      <c r="H43" s="126">
        <f t="shared" ca="1" si="17"/>
        <v>4002</v>
      </c>
      <c r="I43" s="127">
        <f t="shared" si="18"/>
        <v>5.7978866787083447</v>
      </c>
      <c r="J43" s="127">
        <f t="shared" ca="1" si="19"/>
        <v>8.5232862975573127</v>
      </c>
      <c r="K43" s="55">
        <v>7</v>
      </c>
      <c r="L43" s="79"/>
      <c r="M43" s="129"/>
      <c r="N43" s="79"/>
      <c r="O43" s="79"/>
      <c r="P43" s="79"/>
      <c r="Q43" s="79"/>
      <c r="R43" s="79"/>
    </row>
    <row r="44" spans="1:18" ht="12.75" customHeight="1" x14ac:dyDescent="0.35">
      <c r="A44" s="79"/>
      <c r="B44" s="74" t="s">
        <v>76</v>
      </c>
      <c r="C44" s="92" t="s">
        <v>18</v>
      </c>
      <c r="D44" s="125">
        <v>20</v>
      </c>
      <c r="E44" s="86">
        <f t="shared" ca="1" si="15"/>
        <v>55</v>
      </c>
      <c r="F44" s="20">
        <v>24</v>
      </c>
      <c r="G44" s="126">
        <f t="shared" si="16"/>
        <v>480</v>
      </c>
      <c r="H44" s="126">
        <f t="shared" ca="1" si="17"/>
        <v>1320</v>
      </c>
      <c r="I44" s="127">
        <f t="shared" si="18"/>
        <v>0.33610937267874463</v>
      </c>
      <c r="J44" s="127">
        <f t="shared" ca="1" si="19"/>
        <v>0.33969619301858855</v>
      </c>
      <c r="K44" s="55">
        <v>0.3</v>
      </c>
      <c r="L44" s="79"/>
      <c r="M44" s="129"/>
      <c r="N44" s="79"/>
      <c r="O44" s="79"/>
      <c r="P44" s="79"/>
      <c r="Q44" s="79"/>
      <c r="R44" s="79"/>
    </row>
    <row r="45" spans="1:18" ht="12.75" customHeight="1" x14ac:dyDescent="0.35">
      <c r="A45" s="79"/>
      <c r="B45" s="74" t="s">
        <v>77</v>
      </c>
      <c r="C45" s="92" t="s">
        <v>18</v>
      </c>
      <c r="D45" s="125">
        <v>1508.55</v>
      </c>
      <c r="E45" s="86">
        <f t="shared" ca="1" si="15"/>
        <v>5430.78</v>
      </c>
      <c r="F45" s="20">
        <v>0.64</v>
      </c>
      <c r="G45" s="126">
        <f t="shared" si="16"/>
        <v>965.47199999999998</v>
      </c>
      <c r="H45" s="126">
        <f t="shared" ca="1" si="17"/>
        <v>3475.6992</v>
      </c>
      <c r="I45" s="127">
        <f t="shared" si="18"/>
        <v>25.351889707726009</v>
      </c>
      <c r="J45" s="127">
        <f t="shared" ca="1" si="19"/>
        <v>33.54209620220891</v>
      </c>
      <c r="K45" s="55">
        <v>12</v>
      </c>
      <c r="L45" s="79"/>
      <c r="M45" s="129"/>
      <c r="N45" s="79"/>
      <c r="O45" s="79"/>
      <c r="P45" s="79"/>
      <c r="Q45" s="79"/>
      <c r="R45" s="79"/>
    </row>
    <row r="46" spans="1:18" ht="12.75" customHeight="1" x14ac:dyDescent="0.35">
      <c r="A46" s="79"/>
      <c r="B46" s="74" t="s">
        <v>78</v>
      </c>
      <c r="C46" s="92" t="s">
        <v>18</v>
      </c>
      <c r="D46" s="125">
        <v>20</v>
      </c>
      <c r="E46" s="86">
        <f t="shared" ca="1" si="15"/>
        <v>50</v>
      </c>
      <c r="F46" s="20">
        <v>24</v>
      </c>
      <c r="G46" s="126">
        <f t="shared" si="16"/>
        <v>480</v>
      </c>
      <c r="H46" s="126">
        <f t="shared" ca="1" si="17"/>
        <v>1200</v>
      </c>
      <c r="I46" s="127">
        <f t="shared" si="18"/>
        <v>0.33610937267874463</v>
      </c>
      <c r="J46" s="127">
        <f t="shared" ca="1" si="19"/>
        <v>0.30881472092598955</v>
      </c>
      <c r="K46" s="55">
        <v>0.4</v>
      </c>
      <c r="L46" s="79"/>
      <c r="M46" s="129"/>
      <c r="N46" s="79"/>
      <c r="O46" s="79"/>
      <c r="P46" s="79"/>
      <c r="Q46" s="79"/>
      <c r="R46" s="79"/>
    </row>
    <row r="47" spans="1:18" ht="12.75" customHeight="1" x14ac:dyDescent="0.35">
      <c r="A47" s="79"/>
      <c r="B47" s="74" t="s">
        <v>79</v>
      </c>
      <c r="C47" s="92" t="s">
        <v>18</v>
      </c>
      <c r="D47" s="125"/>
      <c r="E47" s="86">
        <f t="shared" ca="1" si="15"/>
        <v>0</v>
      </c>
      <c r="F47" s="20">
        <v>41.96</v>
      </c>
      <c r="G47" s="126">
        <f t="shared" si="16"/>
        <v>0</v>
      </c>
      <c r="H47" s="126">
        <f t="shared" ca="1" si="17"/>
        <v>0</v>
      </c>
      <c r="I47" s="127">
        <f t="shared" si="18"/>
        <v>0</v>
      </c>
      <c r="J47" s="127">
        <f t="shared" ca="1" si="19"/>
        <v>0</v>
      </c>
      <c r="K47" s="55">
        <v>0.2</v>
      </c>
      <c r="L47" s="79"/>
      <c r="M47" s="129"/>
      <c r="N47" s="79"/>
      <c r="O47" s="79"/>
      <c r="P47" s="79"/>
      <c r="Q47" s="79"/>
      <c r="R47" s="79"/>
    </row>
    <row r="48" spans="1:18" ht="12.75" customHeight="1" x14ac:dyDescent="0.35">
      <c r="B48" s="74" t="s">
        <v>80</v>
      </c>
      <c r="C48" s="92" t="s">
        <v>18</v>
      </c>
      <c r="D48" s="125">
        <v>146.66</v>
      </c>
      <c r="E48" s="86">
        <f t="shared" ca="1" si="15"/>
        <v>441.1</v>
      </c>
      <c r="F48" s="20">
        <v>23.51</v>
      </c>
      <c r="G48" s="126">
        <f t="shared" si="16"/>
        <v>3447.9766</v>
      </c>
      <c r="H48" s="126">
        <f t="shared" ca="1" si="17"/>
        <v>10370.261</v>
      </c>
      <c r="I48" s="127">
        <f t="shared" si="18"/>
        <v>2.4646900298532342</v>
      </c>
      <c r="J48" s="127">
        <f t="shared" ca="1" si="19"/>
        <v>2.7243634680090802</v>
      </c>
      <c r="K48" s="55">
        <v>2</v>
      </c>
      <c r="M48" s="129"/>
    </row>
    <row r="49" spans="2:13" ht="12.75" customHeight="1" x14ac:dyDescent="0.35">
      <c r="B49" s="74" t="s">
        <v>81</v>
      </c>
      <c r="C49" s="92" t="s">
        <v>18</v>
      </c>
      <c r="D49" s="125"/>
      <c r="E49" s="86">
        <f t="shared" ca="1" si="15"/>
        <v>0</v>
      </c>
      <c r="F49" s="20">
        <v>41.96</v>
      </c>
      <c r="G49" s="126">
        <f t="shared" si="16"/>
        <v>0</v>
      </c>
      <c r="H49" s="126">
        <f t="shared" ca="1" si="17"/>
        <v>0</v>
      </c>
      <c r="I49" s="127">
        <f t="shared" si="18"/>
        <v>0</v>
      </c>
      <c r="J49" s="127">
        <f t="shared" ca="1" si="19"/>
        <v>0</v>
      </c>
      <c r="K49" s="55">
        <v>0.5</v>
      </c>
      <c r="M49" s="129"/>
    </row>
    <row r="50" spans="2:13" ht="12.75" customHeight="1" x14ac:dyDescent="0.35">
      <c r="B50" s="74" t="s">
        <v>82</v>
      </c>
      <c r="C50" s="130" t="s">
        <v>18</v>
      </c>
      <c r="D50" s="125">
        <v>13.5</v>
      </c>
      <c r="E50" s="86">
        <f t="shared" ca="1" si="15"/>
        <v>41.260000000000005</v>
      </c>
      <c r="F50" s="20">
        <v>43.43</v>
      </c>
      <c r="G50" s="126">
        <f t="shared" si="16"/>
        <v>586.30499999999995</v>
      </c>
      <c r="H50" s="126">
        <f t="shared" ca="1" si="17"/>
        <v>1791.9218000000001</v>
      </c>
      <c r="I50" s="127">
        <f t="shared" si="18"/>
        <v>0.22687382655815261</v>
      </c>
      <c r="J50" s="126">
        <f t="shared" ca="1" si="19"/>
        <v>0.25483390770812664</v>
      </c>
      <c r="K50" s="55">
        <v>0.05</v>
      </c>
    </row>
    <row r="51" spans="2:13" ht="12.75" customHeight="1" x14ac:dyDescent="0.35">
      <c r="B51" s="74" t="s">
        <v>63</v>
      </c>
      <c r="C51" s="89" t="s">
        <v>18</v>
      </c>
      <c r="D51" s="75">
        <v>1101.67</v>
      </c>
      <c r="E51" s="86">
        <f t="shared" ca="1" si="15"/>
        <v>3305.11</v>
      </c>
      <c r="F51" s="76">
        <v>1.03</v>
      </c>
      <c r="G51" s="126">
        <f t="shared" si="16"/>
        <v>1134.7201</v>
      </c>
      <c r="H51" s="126">
        <f t="shared" ca="1" si="17"/>
        <v>3404.2633000000001</v>
      </c>
      <c r="I51" s="127">
        <f t="shared" si="18"/>
        <v>18.514080629949632</v>
      </c>
      <c r="J51" s="126">
        <f t="shared" ca="1" si="19"/>
        <v>20.413332445593952</v>
      </c>
      <c r="K51" s="55">
        <v>0</v>
      </c>
    </row>
    <row r="52" spans="2:13" ht="12.75" customHeight="1" x14ac:dyDescent="0.35">
      <c r="B52" s="74" t="s">
        <v>83</v>
      </c>
      <c r="C52" s="28" t="s">
        <v>36</v>
      </c>
      <c r="D52" s="75"/>
      <c r="E52" s="86">
        <f t="shared" ca="1" si="15"/>
        <v>0</v>
      </c>
      <c r="F52" s="76">
        <v>26.1</v>
      </c>
      <c r="G52" s="20">
        <f t="shared" si="16"/>
        <v>0</v>
      </c>
      <c r="H52" s="126">
        <f t="shared" ca="1" si="17"/>
        <v>0</v>
      </c>
      <c r="I52" s="127">
        <f t="shared" si="18"/>
        <v>0</v>
      </c>
      <c r="J52" s="126">
        <f t="shared" ca="1" si="19"/>
        <v>0</v>
      </c>
      <c r="K52" s="23">
        <v>2.5</v>
      </c>
    </row>
    <row r="53" spans="2:13" ht="12.75" customHeight="1" x14ac:dyDescent="0.35">
      <c r="B53" s="74" t="s">
        <v>91</v>
      </c>
      <c r="C53" s="28" t="s">
        <v>36</v>
      </c>
      <c r="D53" s="75">
        <v>27.22</v>
      </c>
      <c r="E53" s="86">
        <f t="shared" ca="1" si="15"/>
        <v>27.22</v>
      </c>
      <c r="F53" s="76">
        <v>26.42</v>
      </c>
      <c r="G53" s="20">
        <f t="shared" si="16"/>
        <v>719.15240000000006</v>
      </c>
      <c r="H53" s="126">
        <f t="shared" ca="1" si="17"/>
        <v>719.15240000000006</v>
      </c>
      <c r="I53" s="127">
        <f t="shared" si="18"/>
        <v>0.45744485621577141</v>
      </c>
      <c r="J53" s="126">
        <f t="shared" ca="1" si="19"/>
        <v>0.16811873407210873</v>
      </c>
      <c r="K53" s="23">
        <v>0.3</v>
      </c>
    </row>
  </sheetData>
  <mergeCells count="7">
    <mergeCell ref="F16:H16"/>
    <mergeCell ref="I16:J16"/>
    <mergeCell ref="E2:P2"/>
    <mergeCell ref="C3:G3"/>
    <mergeCell ref="D4:E4"/>
    <mergeCell ref="F4:H4"/>
    <mergeCell ref="I4:J4"/>
  </mergeCells>
  <printOptions horizontalCentered="1" verticalCentered="1"/>
  <pageMargins left="0" right="0" top="0" bottom="0" header="0.511811023622047" footer="0.511811023622047"/>
  <pageSetup paperSize="9" scale="8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53"/>
  <sheetViews>
    <sheetView showGridLines="0" topLeftCell="B1" zoomScaleNormal="100" workbookViewId="0">
      <selection activeCell="D54" sqref="D54"/>
    </sheetView>
  </sheetViews>
  <sheetFormatPr defaultColWidth="9.1796875" defaultRowHeight="15" customHeight="1" x14ac:dyDescent="0.35"/>
  <cols>
    <col min="1" max="1" width="1.81640625" style="78" customWidth="1"/>
    <col min="2" max="2" width="21.54296875" style="78" customWidth="1"/>
    <col min="3" max="3" width="3.54296875" style="78" customWidth="1"/>
    <col min="4" max="4" width="10.453125" style="78" customWidth="1"/>
    <col min="5" max="5" width="7.7265625" style="78" customWidth="1"/>
    <col min="6" max="6" width="12" style="78" customWidth="1"/>
    <col min="7" max="7" width="9.453125" style="78" customWidth="1"/>
    <col min="8" max="8" width="9.81640625" style="78" customWidth="1"/>
    <col min="9" max="9" width="9.26953125" style="78" customWidth="1"/>
    <col min="10" max="10" width="7.54296875" style="78" customWidth="1"/>
    <col min="11" max="11" width="6.54296875" style="78" customWidth="1"/>
    <col min="12" max="12" width="5.453125" style="78" customWidth="1"/>
    <col min="13" max="13" width="22.7265625" style="78" customWidth="1"/>
    <col min="14" max="14" width="13.453125" style="78" customWidth="1"/>
    <col min="15" max="15" width="13.81640625" style="78" customWidth="1"/>
    <col min="16" max="16" width="13.54296875" style="78" customWidth="1"/>
    <col min="17" max="17" width="10.26953125" style="78" customWidth="1"/>
    <col min="18" max="1024" width="9.08984375" style="78"/>
  </cols>
  <sheetData>
    <row r="1" spans="1:19" ht="7.5" customHeight="1" x14ac:dyDescent="0.35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9" ht="20.25" customHeight="1" x14ac:dyDescent="0.35">
      <c r="A2" s="79"/>
      <c r="B2" s="80" t="s">
        <v>0</v>
      </c>
      <c r="C2" s="79"/>
      <c r="D2" s="79"/>
      <c r="E2" s="137" t="s">
        <v>1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79"/>
      <c r="R2" s="79"/>
      <c r="S2" s="78" t="s">
        <v>92</v>
      </c>
    </row>
    <row r="3" spans="1:19" ht="10.5" customHeight="1" x14ac:dyDescent="0.35">
      <c r="A3" s="79"/>
      <c r="B3" s="81">
        <v>4</v>
      </c>
      <c r="C3" s="138" t="s">
        <v>93</v>
      </c>
      <c r="D3" s="138"/>
      <c r="E3" s="138"/>
      <c r="F3" s="138"/>
      <c r="G3" s="13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 spans="1:19" ht="14.5" x14ac:dyDescent="0.35">
      <c r="A4" s="79"/>
      <c r="B4" s="82" t="s">
        <v>3</v>
      </c>
      <c r="C4" s="82"/>
      <c r="D4" s="136" t="s">
        <v>5</v>
      </c>
      <c r="E4" s="136"/>
      <c r="F4" s="136" t="s">
        <v>6</v>
      </c>
      <c r="G4" s="136"/>
      <c r="H4" s="136"/>
      <c r="I4" s="136" t="s">
        <v>7</v>
      </c>
      <c r="J4" s="136"/>
      <c r="K4" s="82"/>
      <c r="L4" s="82"/>
      <c r="M4" s="82" t="s">
        <v>8</v>
      </c>
      <c r="N4" s="83" t="s">
        <v>9</v>
      </c>
      <c r="O4" s="83" t="s">
        <v>11</v>
      </c>
      <c r="P4" s="83" t="s">
        <v>11</v>
      </c>
      <c r="Q4" s="84"/>
      <c r="R4" s="79"/>
    </row>
    <row r="5" spans="1:19" ht="14.5" x14ac:dyDescent="0.35">
      <c r="A5" s="79"/>
      <c r="B5" s="10"/>
      <c r="C5" s="10"/>
      <c r="D5" s="10" t="s">
        <v>12</v>
      </c>
      <c r="E5" s="10" t="s">
        <v>13</v>
      </c>
      <c r="F5" s="10" t="s">
        <v>14</v>
      </c>
      <c r="G5" s="10" t="s">
        <v>0</v>
      </c>
      <c r="H5" s="10" t="s">
        <v>13</v>
      </c>
      <c r="I5" s="10" t="s">
        <v>0</v>
      </c>
      <c r="J5" s="10" t="s">
        <v>13</v>
      </c>
      <c r="K5" s="10" t="s">
        <v>15</v>
      </c>
      <c r="L5" s="79"/>
      <c r="M5" s="43" t="s">
        <v>16</v>
      </c>
      <c r="N5" s="85">
        <v>76824</v>
      </c>
      <c r="O5" s="86">
        <f ca="1">INDIRECT("'" &amp; $S$2 &amp; "'!O" &amp; ROW()) + N5</f>
        <v>243658</v>
      </c>
      <c r="P5" s="85">
        <v>162359</v>
      </c>
      <c r="Q5" s="87"/>
      <c r="R5" s="79"/>
    </row>
    <row r="6" spans="1:19" ht="14.15" customHeight="1" x14ac:dyDescent="0.35">
      <c r="A6" s="79"/>
      <c r="B6" s="88" t="s">
        <v>17</v>
      </c>
      <c r="C6" s="89" t="s">
        <v>18</v>
      </c>
      <c r="D6" s="125">
        <v>12096.2</v>
      </c>
      <c r="E6" s="86">
        <f t="shared" ref="E6:E14" ca="1" si="0">INDIRECT("'" &amp; $S$2 &amp; "'!E" &amp; ROW()) + D6</f>
        <v>46325.14</v>
      </c>
      <c r="F6" s="20">
        <v>2.54</v>
      </c>
      <c r="G6" s="126">
        <f t="shared" ref="G6:G14" si="1">F6*D6</f>
        <v>30724.348000000002</v>
      </c>
      <c r="H6" s="126">
        <f t="shared" ref="H6:H14" ca="1" si="2">INDIRECT("'" &amp; $S$2 &amp; "'!H" &amp; ROW()) + G6</f>
        <v>117665.85560000001</v>
      </c>
      <c r="I6" s="127">
        <f>IF($N$9=0,0,D6/$N$9*1000)</f>
        <v>4.3326872855138552</v>
      </c>
      <c r="J6" s="127">
        <f ca="1">IF($O$9=0,0,E6/$O$9*1000)</f>
        <v>5.2185280900154796</v>
      </c>
      <c r="K6" s="23">
        <v>9.8000000000000007</v>
      </c>
      <c r="L6" s="79"/>
      <c r="M6" s="43" t="s">
        <v>19</v>
      </c>
      <c r="N6" s="85"/>
      <c r="O6" s="86">
        <f>'semana 1'!O6+N6</f>
        <v>0</v>
      </c>
      <c r="P6" s="85"/>
      <c r="R6" s="79"/>
    </row>
    <row r="7" spans="1:19" ht="14.15" customHeight="1" x14ac:dyDescent="0.35">
      <c r="A7" s="79"/>
      <c r="B7" s="74" t="s">
        <v>20</v>
      </c>
      <c r="C7" s="92" t="s">
        <v>18</v>
      </c>
      <c r="D7" s="125"/>
      <c r="E7" s="86">
        <f t="shared" ca="1" si="0"/>
        <v>70</v>
      </c>
      <c r="F7" s="20">
        <v>599</v>
      </c>
      <c r="G7" s="126">
        <f t="shared" si="1"/>
        <v>0</v>
      </c>
      <c r="H7" s="126">
        <f t="shared" ca="1" si="2"/>
        <v>41930</v>
      </c>
      <c r="I7" s="128">
        <f t="shared" ref="I7:I14" si="3">IF($N$9=0,0,D7/$N$9*1000)*1000</f>
        <v>0</v>
      </c>
      <c r="J7" s="128">
        <f t="shared" ref="J7:J14" ca="1" si="4">IF($O$9=0,0,E7/$O$9*1000)*1000</f>
        <v>7.8855016153450075</v>
      </c>
      <c r="K7" s="23">
        <v>6.8</v>
      </c>
      <c r="L7" s="79"/>
      <c r="M7" s="43" t="s">
        <v>21</v>
      </c>
      <c r="N7" s="85"/>
      <c r="O7" s="86">
        <f>'semana 1'!O7+N7</f>
        <v>0</v>
      </c>
      <c r="P7" s="85"/>
      <c r="Q7" s="87"/>
      <c r="R7" s="79"/>
    </row>
    <row r="8" spans="1:19" ht="14.15" customHeight="1" x14ac:dyDescent="0.35">
      <c r="A8" s="79"/>
      <c r="B8" s="74" t="s">
        <v>22</v>
      </c>
      <c r="C8" s="92" t="s">
        <v>18</v>
      </c>
      <c r="D8" s="125">
        <v>1745</v>
      </c>
      <c r="E8" s="86">
        <f t="shared" ca="1" si="0"/>
        <v>7305</v>
      </c>
      <c r="F8" s="20">
        <v>15</v>
      </c>
      <c r="G8" s="126">
        <f t="shared" si="1"/>
        <v>26175</v>
      </c>
      <c r="H8" s="126">
        <f t="shared" ca="1" si="2"/>
        <v>102917.4</v>
      </c>
      <c r="I8" s="128">
        <f t="shared" si="3"/>
        <v>625.03425151879742</v>
      </c>
      <c r="J8" s="128">
        <f t="shared" ca="1" si="4"/>
        <v>822.90841857278951</v>
      </c>
      <c r="K8" s="23">
        <v>400</v>
      </c>
      <c r="L8" s="79"/>
      <c r="M8" s="49" t="s">
        <v>23</v>
      </c>
      <c r="N8" s="94">
        <v>2791847</v>
      </c>
      <c r="O8" s="86">
        <f ca="1">INDIRECT("'" &amp; $S$2 &amp; "'!O" &amp; ROW()) + N8</f>
        <v>8877051</v>
      </c>
      <c r="P8" s="94">
        <v>2979314</v>
      </c>
      <c r="Q8" s="87"/>
      <c r="R8" s="79"/>
    </row>
    <row r="9" spans="1:19" ht="14.15" customHeight="1" x14ac:dyDescent="0.35">
      <c r="A9" s="79"/>
      <c r="B9" s="74" t="s">
        <v>24</v>
      </c>
      <c r="C9" s="92" t="s">
        <v>18</v>
      </c>
      <c r="D9" s="125">
        <v>1264.71</v>
      </c>
      <c r="E9" s="86">
        <f t="shared" ca="1" si="0"/>
        <v>3516.69</v>
      </c>
      <c r="F9" s="20">
        <v>25.15</v>
      </c>
      <c r="G9" s="126">
        <f t="shared" si="1"/>
        <v>31807.4565</v>
      </c>
      <c r="H9" s="126">
        <f t="shared" ca="1" si="2"/>
        <v>88444.753499999992</v>
      </c>
      <c r="I9" s="128">
        <f t="shared" si="3"/>
        <v>453.00118523687013</v>
      </c>
      <c r="J9" s="128">
        <f t="shared" ca="1" si="4"/>
        <v>396.15520965239472</v>
      </c>
      <c r="K9" s="23">
        <v>200</v>
      </c>
      <c r="L9" s="79"/>
      <c r="M9" s="34" t="s">
        <v>25</v>
      </c>
      <c r="N9" s="95">
        <f>SUM(N7:N8)</f>
        <v>2791847</v>
      </c>
      <c r="O9" s="95">
        <f ca="1">SUM(O7:O8)</f>
        <v>8877051</v>
      </c>
      <c r="P9" s="96"/>
      <c r="Q9" s="97"/>
      <c r="R9" s="79"/>
    </row>
    <row r="10" spans="1:19" ht="14.15" customHeight="1" x14ac:dyDescent="0.35">
      <c r="A10" s="79"/>
      <c r="B10" s="74" t="s">
        <v>26</v>
      </c>
      <c r="C10" s="92" t="s">
        <v>18</v>
      </c>
      <c r="D10" s="125">
        <v>50</v>
      </c>
      <c r="E10" s="86">
        <f t="shared" ca="1" si="0"/>
        <v>100</v>
      </c>
      <c r="F10" s="20">
        <v>10.98</v>
      </c>
      <c r="G10" s="126">
        <f t="shared" si="1"/>
        <v>549</v>
      </c>
      <c r="H10" s="126">
        <f t="shared" ca="1" si="2"/>
        <v>1098</v>
      </c>
      <c r="I10" s="128">
        <f t="shared" si="3"/>
        <v>17.909290874464109</v>
      </c>
      <c r="J10" s="128">
        <f t="shared" ca="1" si="4"/>
        <v>11.265002307635722</v>
      </c>
      <c r="K10" s="23">
        <v>10</v>
      </c>
      <c r="L10" s="79"/>
      <c r="M10" s="38" t="s">
        <v>27</v>
      </c>
      <c r="N10" s="98">
        <f>SUM(N5:N6)</f>
        <v>76824</v>
      </c>
      <c r="O10" s="98">
        <f ca="1">SUM(O5:O6)</f>
        <v>243658</v>
      </c>
      <c r="P10" s="99"/>
      <c r="Q10" s="100"/>
      <c r="R10" s="79"/>
    </row>
    <row r="11" spans="1:19" ht="14.15" customHeight="1" x14ac:dyDescent="0.35">
      <c r="A11" s="79"/>
      <c r="B11" s="74" t="s">
        <v>28</v>
      </c>
      <c r="C11" s="92" t="s">
        <v>18</v>
      </c>
      <c r="D11" s="125"/>
      <c r="E11" s="86">
        <f t="shared" ca="1" si="0"/>
        <v>2653.34</v>
      </c>
      <c r="F11" s="20">
        <v>4.13</v>
      </c>
      <c r="G11" s="126">
        <f t="shared" si="1"/>
        <v>0</v>
      </c>
      <c r="H11" s="126">
        <f t="shared" ca="1" si="2"/>
        <v>10958.2942</v>
      </c>
      <c r="I11" s="128">
        <f t="shared" si="3"/>
        <v>0</v>
      </c>
      <c r="J11" s="128">
        <f t="shared" ca="1" si="4"/>
        <v>298.89881222942171</v>
      </c>
      <c r="K11" s="23"/>
      <c r="L11" s="79"/>
      <c r="R11" s="79"/>
    </row>
    <row r="12" spans="1:19" ht="14.15" customHeight="1" x14ac:dyDescent="0.35">
      <c r="A12" s="79"/>
      <c r="B12" s="74" t="s">
        <v>29</v>
      </c>
      <c r="C12" s="92" t="s">
        <v>18</v>
      </c>
      <c r="D12" s="125">
        <v>775</v>
      </c>
      <c r="E12" s="86">
        <f t="shared" ca="1" si="0"/>
        <v>3000</v>
      </c>
      <c r="F12" s="20">
        <v>5.83</v>
      </c>
      <c r="G12" s="126">
        <f t="shared" si="1"/>
        <v>4518.25</v>
      </c>
      <c r="H12" s="126">
        <f t="shared" ca="1" si="2"/>
        <v>17490</v>
      </c>
      <c r="I12" s="128">
        <f t="shared" si="3"/>
        <v>277.59400855419369</v>
      </c>
      <c r="J12" s="128">
        <f t="shared" ca="1" si="4"/>
        <v>337.95006922907169</v>
      </c>
      <c r="K12" s="23">
        <v>400</v>
      </c>
      <c r="L12" s="79"/>
      <c r="M12" s="56" t="s">
        <v>30</v>
      </c>
      <c r="N12" s="101"/>
      <c r="O12" s="101"/>
      <c r="P12" s="101"/>
      <c r="R12" s="79"/>
    </row>
    <row r="13" spans="1:19" ht="14.15" customHeight="1" x14ac:dyDescent="0.35">
      <c r="A13" s="79"/>
      <c r="B13" s="74" t="s">
        <v>31</v>
      </c>
      <c r="C13" s="92" t="s">
        <v>18</v>
      </c>
      <c r="D13" s="125">
        <v>1190.56</v>
      </c>
      <c r="E13" s="86">
        <f t="shared" ca="1" si="0"/>
        <v>2060.5699999999997</v>
      </c>
      <c r="F13" s="20">
        <v>6</v>
      </c>
      <c r="G13" s="126">
        <f t="shared" si="1"/>
        <v>7143.36</v>
      </c>
      <c r="H13" s="126">
        <f t="shared" ca="1" si="2"/>
        <v>12363.419999999998</v>
      </c>
      <c r="I13" s="128">
        <f t="shared" si="3"/>
        <v>426.44170687003981</v>
      </c>
      <c r="J13" s="128">
        <f t="shared" ca="1" si="4"/>
        <v>232.12325805044938</v>
      </c>
      <c r="K13" s="23">
        <v>500</v>
      </c>
      <c r="L13" s="79"/>
      <c r="M13" s="43" t="s">
        <v>32</v>
      </c>
      <c r="N13" s="44" t="s">
        <v>0</v>
      </c>
      <c r="O13" s="44" t="s">
        <v>34</v>
      </c>
      <c r="P13" s="44" t="s">
        <v>34</v>
      </c>
      <c r="R13" s="79"/>
    </row>
    <row r="14" spans="1:19" ht="14.15" customHeight="1" x14ac:dyDescent="0.35">
      <c r="A14" s="79"/>
      <c r="B14" s="102" t="s">
        <v>35</v>
      </c>
      <c r="C14" s="103" t="s">
        <v>18</v>
      </c>
      <c r="D14" s="125">
        <v>10</v>
      </c>
      <c r="E14" s="86">
        <f t="shared" ca="1" si="0"/>
        <v>25</v>
      </c>
      <c r="F14" s="20">
        <v>425</v>
      </c>
      <c r="G14" s="126">
        <f t="shared" si="1"/>
        <v>4250</v>
      </c>
      <c r="H14" s="126">
        <f t="shared" ca="1" si="2"/>
        <v>10625</v>
      </c>
      <c r="I14" s="128">
        <f t="shared" si="3"/>
        <v>3.581858174892822</v>
      </c>
      <c r="J14" s="128">
        <f t="shared" ca="1" si="4"/>
        <v>2.8162505769089305</v>
      </c>
      <c r="K14" s="23">
        <v>3</v>
      </c>
      <c r="L14" s="79"/>
      <c r="M14" s="43" t="s">
        <v>37</v>
      </c>
      <c r="N14" s="104">
        <v>35291.163999999997</v>
      </c>
      <c r="O14" s="105">
        <f ca="1">INDIRECT("'" &amp; $S$2 &amp; "'!O" &amp; ROW()) + N14</f>
        <v>121937.59099999999</v>
      </c>
      <c r="P14" s="105">
        <v>52223.817999999999</v>
      </c>
      <c r="R14" s="79"/>
    </row>
    <row r="15" spans="1:19" ht="14.5" x14ac:dyDescent="0.3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49" t="s">
        <v>38</v>
      </c>
      <c r="N15" s="107">
        <v>30508.635999999999</v>
      </c>
      <c r="O15" s="105">
        <f ca="1">INDIRECT("'" &amp; $S$2 &amp; "'!O" &amp; ROW()) + N15</f>
        <v>105771.58900000001</v>
      </c>
      <c r="P15" s="105">
        <v>83425.142000000007</v>
      </c>
      <c r="R15" s="79"/>
    </row>
    <row r="16" spans="1:19" ht="14.5" x14ac:dyDescent="0.35">
      <c r="A16" s="79"/>
      <c r="B16" s="82" t="s">
        <v>39</v>
      </c>
      <c r="C16" s="82"/>
      <c r="D16" s="82" t="s">
        <v>5</v>
      </c>
      <c r="E16" s="82"/>
      <c r="F16" s="136" t="s">
        <v>6</v>
      </c>
      <c r="G16" s="136"/>
      <c r="H16" s="136"/>
      <c r="I16" s="136" t="s">
        <v>40</v>
      </c>
      <c r="J16" s="136"/>
      <c r="K16" s="82"/>
      <c r="L16" s="108"/>
      <c r="M16" s="52" t="s">
        <v>41</v>
      </c>
      <c r="N16" s="109">
        <f>SUM(N14:N15)</f>
        <v>65799.799999999988</v>
      </c>
      <c r="O16" s="109">
        <f ca="1">SUM(O14:O15)</f>
        <v>227709.18</v>
      </c>
      <c r="P16" s="110">
        <f>P15+P14</f>
        <v>135648.96000000002</v>
      </c>
      <c r="Q16" s="108"/>
      <c r="R16" s="79"/>
    </row>
    <row r="17" spans="1:18" ht="14.5" x14ac:dyDescent="0.35">
      <c r="A17" s="79"/>
      <c r="B17" s="10"/>
      <c r="C17" s="10"/>
      <c r="D17" s="10" t="s">
        <v>12</v>
      </c>
      <c r="E17" s="10" t="s">
        <v>13</v>
      </c>
      <c r="F17" s="10" t="s">
        <v>14</v>
      </c>
      <c r="G17" s="10" t="s">
        <v>0</v>
      </c>
      <c r="H17" s="10" t="s">
        <v>13</v>
      </c>
      <c r="I17" s="10" t="s">
        <v>0</v>
      </c>
      <c r="J17" s="10" t="s">
        <v>13</v>
      </c>
      <c r="K17" s="10" t="s">
        <v>15</v>
      </c>
      <c r="L17" s="79"/>
      <c r="Q17" s="79"/>
      <c r="R17" s="79"/>
    </row>
    <row r="18" spans="1:18" ht="14.15" customHeight="1" x14ac:dyDescent="0.35">
      <c r="A18" s="79"/>
      <c r="B18" s="88" t="s">
        <v>42</v>
      </c>
      <c r="C18" s="89" t="s">
        <v>18</v>
      </c>
      <c r="D18" s="125">
        <v>275</v>
      </c>
      <c r="E18" s="86">
        <f t="shared" ref="E18:E27" ca="1" si="5">INDIRECT("'" &amp; $S$2 &amp; "'!E" &amp; ROW()) + D18</f>
        <v>1325</v>
      </c>
      <c r="F18" s="20">
        <v>21</v>
      </c>
      <c r="G18" s="126">
        <f t="shared" ref="G18:G27" si="6">D18*F18</f>
        <v>5775</v>
      </c>
      <c r="H18" s="126">
        <f t="shared" ref="H18:H27" ca="1" si="7">INDIRECT("'" &amp; $S$2 &amp; "'!H" &amp; ROW()) + G18</f>
        <v>27825</v>
      </c>
      <c r="I18" s="127">
        <f t="shared" ref="I18:I27" si="8">IF($N$10=0,0,D18/$N$16*1000)</f>
        <v>4.179344010164165</v>
      </c>
      <c r="J18" s="127">
        <f t="shared" ref="J18:J27" ca="1" si="9">IF($O$10=0,0,E18/$O$16*1000)</f>
        <v>5.8188255739184518</v>
      </c>
      <c r="K18" s="55">
        <v>6.1</v>
      </c>
      <c r="L18" s="79"/>
      <c r="M18" s="56" t="s">
        <v>43</v>
      </c>
      <c r="N18" s="57" t="s">
        <v>0</v>
      </c>
      <c r="O18" s="57" t="s">
        <v>34</v>
      </c>
      <c r="Q18" s="79"/>
      <c r="R18" s="79"/>
    </row>
    <row r="19" spans="1:18" ht="14.15" customHeight="1" x14ac:dyDescent="0.35">
      <c r="A19" s="79"/>
      <c r="B19" s="74" t="s">
        <v>45</v>
      </c>
      <c r="C19" s="92" t="s">
        <v>18</v>
      </c>
      <c r="D19" s="125">
        <v>450</v>
      </c>
      <c r="E19" s="86">
        <f t="shared" ca="1" si="5"/>
        <v>1550</v>
      </c>
      <c r="F19" s="20">
        <v>15.63</v>
      </c>
      <c r="G19" s="126">
        <f t="shared" si="6"/>
        <v>7033.5</v>
      </c>
      <c r="H19" s="126">
        <f t="shared" ca="1" si="7"/>
        <v>24226.5</v>
      </c>
      <c r="I19" s="127">
        <f t="shared" si="8"/>
        <v>6.838926562086816</v>
      </c>
      <c r="J19" s="127">
        <f t="shared" ca="1" si="9"/>
        <v>6.8069280298668682</v>
      </c>
      <c r="K19" s="55">
        <v>9</v>
      </c>
      <c r="L19" s="79"/>
      <c r="M19" s="43" t="s">
        <v>46</v>
      </c>
      <c r="N19" s="58">
        <f>SUM(G6:G14)</f>
        <v>105167.4145</v>
      </c>
      <c r="O19" s="126">
        <f ca="1">INDIRECT("'" &amp; $S$2 &amp; "'!O" &amp; ROW()) + N19</f>
        <v>403492.72330000001</v>
      </c>
      <c r="Q19" s="79"/>
      <c r="R19" s="79"/>
    </row>
    <row r="20" spans="1:18" ht="14.15" customHeight="1" x14ac:dyDescent="0.35">
      <c r="A20" s="79"/>
      <c r="B20" s="74" t="s">
        <v>47</v>
      </c>
      <c r="C20" s="92" t="s">
        <v>18</v>
      </c>
      <c r="D20" s="125"/>
      <c r="E20" s="86">
        <f t="shared" ca="1" si="5"/>
        <v>1000</v>
      </c>
      <c r="F20" s="20">
        <v>6.7</v>
      </c>
      <c r="G20" s="126">
        <f t="shared" si="6"/>
        <v>0</v>
      </c>
      <c r="H20" s="126">
        <f t="shared" ca="1" si="7"/>
        <v>6700</v>
      </c>
      <c r="I20" s="127">
        <f t="shared" si="8"/>
        <v>0</v>
      </c>
      <c r="J20" s="127">
        <f t="shared" ca="1" si="9"/>
        <v>4.39156647088185</v>
      </c>
      <c r="K20" s="55">
        <v>51</v>
      </c>
      <c r="L20" s="79"/>
      <c r="M20" s="43" t="s">
        <v>48</v>
      </c>
      <c r="N20" s="58">
        <f>SUM(G18:G27)+G51</f>
        <v>62051.925599999995</v>
      </c>
      <c r="O20" s="126">
        <f ca="1">INDIRECT("'" &amp; $S$2 &amp; "'!O" &amp; ROW()) + N20</f>
        <v>265699.26120000001</v>
      </c>
      <c r="Q20" s="79"/>
      <c r="R20" s="79"/>
    </row>
    <row r="21" spans="1:18" ht="14.15" customHeight="1" x14ac:dyDescent="0.35">
      <c r="A21" s="79"/>
      <c r="B21" s="74" t="s">
        <v>49</v>
      </c>
      <c r="C21" s="92" t="s">
        <v>18</v>
      </c>
      <c r="D21" s="125"/>
      <c r="E21" s="86">
        <f t="shared" ca="1" si="5"/>
        <v>0</v>
      </c>
      <c r="F21" s="20">
        <v>5.85</v>
      </c>
      <c r="G21" s="126">
        <f t="shared" si="6"/>
        <v>0</v>
      </c>
      <c r="H21" s="126">
        <f t="shared" ca="1" si="7"/>
        <v>0</v>
      </c>
      <c r="I21" s="127">
        <f t="shared" si="8"/>
        <v>0</v>
      </c>
      <c r="J21" s="127">
        <f t="shared" ca="1" si="9"/>
        <v>0</v>
      </c>
      <c r="K21" s="55"/>
      <c r="L21" s="79"/>
      <c r="M21" s="43" t="s">
        <v>50</v>
      </c>
      <c r="N21" s="58">
        <f>SUM(G30:G37)</f>
        <v>7644.7776000000003</v>
      </c>
      <c r="O21" s="126">
        <f ca="1">INDIRECT("'" &amp; $S$2 &amp; "'!O" &amp; ROW()) + N21</f>
        <v>29507.256300000001</v>
      </c>
      <c r="Q21" s="79"/>
      <c r="R21" s="79"/>
    </row>
    <row r="22" spans="1:18" ht="14.15" customHeight="1" x14ac:dyDescent="0.35">
      <c r="A22" s="79"/>
      <c r="B22" s="74" t="s">
        <v>51</v>
      </c>
      <c r="C22" s="92" t="s">
        <v>18</v>
      </c>
      <c r="D22" s="125">
        <v>20379.5</v>
      </c>
      <c r="E22" s="86">
        <f t="shared" ca="1" si="5"/>
        <v>112972.1</v>
      </c>
      <c r="F22" s="20">
        <v>1.03</v>
      </c>
      <c r="G22" s="126">
        <f t="shared" si="6"/>
        <v>20990.885000000002</v>
      </c>
      <c r="H22" s="126">
        <f t="shared" ca="1" si="7"/>
        <v>116361.26300000001</v>
      </c>
      <c r="I22" s="127">
        <f t="shared" si="8"/>
        <v>309.71978638232952</v>
      </c>
      <c r="J22" s="127">
        <f t="shared" ca="1" si="9"/>
        <v>496.12448650511152</v>
      </c>
      <c r="K22" s="55">
        <v>1000</v>
      </c>
      <c r="L22" s="79"/>
      <c r="M22" s="49" t="s">
        <v>52</v>
      </c>
      <c r="N22" s="58">
        <f>SUM(G40:G53)-G51</f>
        <v>11346.9262</v>
      </c>
      <c r="O22" s="126">
        <f ca="1">INDIRECT("'" &amp; $S$2 &amp; "'!O" &amp; ROW()) + N22</f>
        <v>62051.253800000006</v>
      </c>
      <c r="Q22" s="79"/>
      <c r="R22" s="79"/>
    </row>
    <row r="23" spans="1:18" ht="14.15" customHeight="1" x14ac:dyDescent="0.35">
      <c r="A23" s="79"/>
      <c r="B23" s="74" t="s">
        <v>29</v>
      </c>
      <c r="C23" s="92" t="s">
        <v>18</v>
      </c>
      <c r="D23" s="125">
        <v>475</v>
      </c>
      <c r="E23" s="86">
        <f t="shared" ca="1" si="5"/>
        <v>2425</v>
      </c>
      <c r="F23" s="20">
        <v>5.83</v>
      </c>
      <c r="G23" s="126">
        <f t="shared" si="6"/>
        <v>2769.25</v>
      </c>
      <c r="H23" s="126">
        <f t="shared" ca="1" si="7"/>
        <v>14137.75</v>
      </c>
      <c r="I23" s="127">
        <f t="shared" si="8"/>
        <v>7.2188669266471948</v>
      </c>
      <c r="J23" s="127">
        <f t="shared" ca="1" si="9"/>
        <v>10.649548691888487</v>
      </c>
      <c r="K23" s="55">
        <v>13</v>
      </c>
      <c r="L23" s="79"/>
      <c r="M23" s="52" t="s">
        <v>53</v>
      </c>
      <c r="N23" s="112">
        <f>SUM(N19:N22)</f>
        <v>186211.04389999999</v>
      </c>
      <c r="O23" s="113">
        <f ca="1">SUM(O19:O22)</f>
        <v>760750.49460000009</v>
      </c>
      <c r="Q23" s="79"/>
      <c r="R23" s="79"/>
    </row>
    <row r="24" spans="1:18" ht="14.15" customHeight="1" x14ac:dyDescent="0.35">
      <c r="A24" s="79"/>
      <c r="B24" s="74" t="s">
        <v>54</v>
      </c>
      <c r="C24" s="92" t="s">
        <v>18</v>
      </c>
      <c r="D24" s="125">
        <v>1519.99</v>
      </c>
      <c r="E24" s="86">
        <f t="shared" ca="1" si="5"/>
        <v>3849.99</v>
      </c>
      <c r="F24" s="20">
        <v>8</v>
      </c>
      <c r="G24" s="126">
        <f t="shared" si="6"/>
        <v>12159.92</v>
      </c>
      <c r="H24" s="126">
        <f t="shared" ca="1" si="7"/>
        <v>30799.919999999998</v>
      </c>
      <c r="I24" s="127">
        <f t="shared" si="8"/>
        <v>23.100222189125198</v>
      </c>
      <c r="J24" s="127">
        <f t="shared" ca="1" si="9"/>
        <v>16.907486997230414</v>
      </c>
      <c r="K24" s="55">
        <v>2.8</v>
      </c>
      <c r="L24" s="79"/>
      <c r="P24" s="79"/>
      <c r="Q24" s="79"/>
      <c r="R24" s="79"/>
    </row>
    <row r="25" spans="1:18" ht="14.15" customHeight="1" x14ac:dyDescent="0.35">
      <c r="A25" s="79"/>
      <c r="B25" s="74" t="s">
        <v>55</v>
      </c>
      <c r="C25" s="92" t="s">
        <v>18</v>
      </c>
      <c r="D25" s="125">
        <v>2083.5300000000002</v>
      </c>
      <c r="E25" s="86">
        <f t="shared" ca="1" si="5"/>
        <v>7415.2800000000007</v>
      </c>
      <c r="F25" s="20">
        <v>5.85</v>
      </c>
      <c r="G25" s="126">
        <f t="shared" si="6"/>
        <v>12188.6505</v>
      </c>
      <c r="H25" s="126">
        <f t="shared" ca="1" si="7"/>
        <v>43379.387999999992</v>
      </c>
      <c r="I25" s="127">
        <f t="shared" si="8"/>
        <v>31.664685910899436</v>
      </c>
      <c r="J25" s="127">
        <f t="shared" ca="1" si="9"/>
        <v>32.564695020200766</v>
      </c>
      <c r="K25" s="55">
        <v>28</v>
      </c>
      <c r="L25" s="79"/>
      <c r="M25" s="56" t="s">
        <v>56</v>
      </c>
      <c r="N25" s="56" t="s">
        <v>9</v>
      </c>
      <c r="O25" s="56"/>
      <c r="P25" s="56" t="s">
        <v>11</v>
      </c>
      <c r="Q25" s="56"/>
      <c r="R25" s="79"/>
    </row>
    <row r="26" spans="1:18" ht="14.15" customHeight="1" x14ac:dyDescent="0.35">
      <c r="A26" s="79"/>
      <c r="B26" s="74" t="s">
        <v>58</v>
      </c>
      <c r="C26" s="103" t="s">
        <v>36</v>
      </c>
      <c r="D26" s="125"/>
      <c r="E26" s="86">
        <f t="shared" ca="1" si="5"/>
        <v>0</v>
      </c>
      <c r="F26" s="20">
        <v>6.98</v>
      </c>
      <c r="G26" s="126">
        <f t="shared" si="6"/>
        <v>0</v>
      </c>
      <c r="H26" s="126">
        <f t="shared" ca="1" si="7"/>
        <v>0</v>
      </c>
      <c r="I26" s="127">
        <f t="shared" si="8"/>
        <v>0</v>
      </c>
      <c r="J26" s="127">
        <f t="shared" ca="1" si="9"/>
        <v>0</v>
      </c>
      <c r="K26" s="55">
        <v>21.3</v>
      </c>
      <c r="L26" s="79"/>
      <c r="M26" s="43" t="s">
        <v>46</v>
      </c>
      <c r="N26" s="114">
        <f>IF($N$9=0,0,N19/$N$9*1000)</f>
        <v>37.669476335916691</v>
      </c>
      <c r="O26" s="44" t="s">
        <v>59</v>
      </c>
      <c r="P26" s="114">
        <f ca="1">IF($O$9=0,0,O19/$O$9*1000)</f>
        <v>45.453464590887222</v>
      </c>
      <c r="Q26" s="44" t="s">
        <v>59</v>
      </c>
      <c r="R26" s="79"/>
    </row>
    <row r="27" spans="1:18" ht="14.15" customHeight="1" x14ac:dyDescent="0.35">
      <c r="A27" s="79"/>
      <c r="B27" s="74" t="s">
        <v>86</v>
      </c>
      <c r="C27" s="103" t="s">
        <v>36</v>
      </c>
      <c r="D27" s="75"/>
      <c r="E27" s="86">
        <f t="shared" ca="1" si="5"/>
        <v>0</v>
      </c>
      <c r="F27" s="115"/>
      <c r="G27" s="126">
        <f t="shared" si="6"/>
        <v>0</v>
      </c>
      <c r="H27" s="126">
        <f t="shared" ca="1" si="7"/>
        <v>0</v>
      </c>
      <c r="I27" s="127">
        <f t="shared" si="8"/>
        <v>0</v>
      </c>
      <c r="J27" s="127">
        <f t="shared" ca="1" si="9"/>
        <v>0</v>
      </c>
      <c r="K27" s="55">
        <v>3.6</v>
      </c>
      <c r="L27" s="108"/>
      <c r="M27" s="43" t="s">
        <v>48</v>
      </c>
      <c r="N27" s="114">
        <f>IF($N$10=0,0,N20/$N$16)</f>
        <v>0.94304124936549971</v>
      </c>
      <c r="O27" s="44" t="s">
        <v>60</v>
      </c>
      <c r="P27" s="114">
        <f ca="1">IF($O$10=0,0,O20/$O$16)</f>
        <v>1.1668359668239989</v>
      </c>
      <c r="Q27" s="44" t="s">
        <v>60</v>
      </c>
    </row>
    <row r="28" spans="1:18" ht="14.5" x14ac:dyDescent="0.35">
      <c r="A28" s="79"/>
      <c r="B28" s="82" t="s">
        <v>62</v>
      </c>
      <c r="C28" s="82"/>
      <c r="D28" s="82" t="s">
        <v>5</v>
      </c>
      <c r="E28" s="82"/>
      <c r="F28" s="82" t="s">
        <v>6</v>
      </c>
      <c r="G28" s="82"/>
      <c r="H28" s="82"/>
      <c r="I28" s="82" t="s">
        <v>40</v>
      </c>
      <c r="J28" s="82"/>
      <c r="K28" s="82"/>
      <c r="L28" s="79"/>
      <c r="M28" s="43" t="s">
        <v>50</v>
      </c>
      <c r="N28" s="114">
        <f>IF($N$16=0,0,N21/$N$16)</f>
        <v>0.11618238353308068</v>
      </c>
      <c r="O28" s="44" t="s">
        <v>60</v>
      </c>
      <c r="P28" s="114">
        <f ca="1">IF($O$16=0,0,O21/$O$16)</f>
        <v>0.12958307741479724</v>
      </c>
      <c r="Q28" s="44" t="s">
        <v>60</v>
      </c>
    </row>
    <row r="29" spans="1:18" ht="14.5" x14ac:dyDescent="0.35">
      <c r="A29" s="79"/>
      <c r="B29" s="10"/>
      <c r="C29" s="10"/>
      <c r="D29" s="10" t="s">
        <v>12</v>
      </c>
      <c r="E29" s="10" t="s">
        <v>13</v>
      </c>
      <c r="F29" s="10" t="s">
        <v>14</v>
      </c>
      <c r="G29" s="10" t="s">
        <v>0</v>
      </c>
      <c r="H29" s="10" t="s">
        <v>13</v>
      </c>
      <c r="I29" s="10" t="s">
        <v>0</v>
      </c>
      <c r="J29" s="10" t="s">
        <v>13</v>
      </c>
      <c r="K29" s="10" t="s">
        <v>15</v>
      </c>
      <c r="L29" s="79"/>
      <c r="M29" s="49" t="s">
        <v>52</v>
      </c>
      <c r="N29" s="116">
        <f>IF($N$16=0,0,N22/$N$16)</f>
        <v>0.17244621108270849</v>
      </c>
      <c r="O29" s="117" t="s">
        <v>60</v>
      </c>
      <c r="P29" s="116">
        <f ca="1">IF($O$16=0,0,O22/$O$16)</f>
        <v>0.27250220566426003</v>
      </c>
      <c r="Q29" s="117" t="s">
        <v>60</v>
      </c>
    </row>
    <row r="30" spans="1:18" ht="14.15" customHeight="1" x14ac:dyDescent="0.35">
      <c r="A30" s="79"/>
      <c r="B30" s="88" t="s">
        <v>63</v>
      </c>
      <c r="C30" s="89" t="s">
        <v>18</v>
      </c>
      <c r="D30" s="125"/>
      <c r="E30" s="86">
        <f t="shared" ref="E30:E36" ca="1" si="10">INDIRECT("'" &amp; $S$2 &amp; "'!E" &amp; ROW()) + D30</f>
        <v>0</v>
      </c>
      <c r="F30" s="20">
        <v>1.03</v>
      </c>
      <c r="G30" s="126">
        <f t="shared" ref="G30:G36" si="11">D30*F30</f>
        <v>0</v>
      </c>
      <c r="H30" s="126">
        <f t="shared" ref="H30:H36" ca="1" si="12">INDIRECT("'" &amp; $S$2 &amp; "'!H" &amp; ROW()) + G30</f>
        <v>0</v>
      </c>
      <c r="I30" s="128">
        <f t="shared" ref="I30:I36" si="13">IF($N$16=0,0,D30/$N$16*1000)</f>
        <v>0</v>
      </c>
      <c r="J30" s="128">
        <f t="shared" ref="J30:J36" ca="1" si="14">IF($O$16=0,0,E30/$O$16*1000)</f>
        <v>0</v>
      </c>
      <c r="K30" s="23">
        <v>0</v>
      </c>
      <c r="L30" s="79"/>
      <c r="M30" s="52" t="s">
        <v>64</v>
      </c>
      <c r="N30" s="119">
        <f>IF($N$16=0,0,N23/$N$16)</f>
        <v>2.8299636761813871</v>
      </c>
      <c r="O30" s="120" t="s">
        <v>60</v>
      </c>
      <c r="P30" s="119">
        <f ca="1">IF($O$16=0,0,O23/$O$16)</f>
        <v>3.3408863647921447</v>
      </c>
      <c r="Q30" s="121" t="s">
        <v>60</v>
      </c>
    </row>
    <row r="31" spans="1:18" ht="14.15" customHeight="1" x14ac:dyDescent="0.35">
      <c r="A31" s="79"/>
      <c r="B31" s="74" t="s">
        <v>29</v>
      </c>
      <c r="C31" s="92" t="s">
        <v>18</v>
      </c>
      <c r="D31" s="125">
        <v>25</v>
      </c>
      <c r="E31" s="86">
        <f t="shared" ca="1" si="10"/>
        <v>100</v>
      </c>
      <c r="F31" s="20">
        <v>5.83</v>
      </c>
      <c r="G31" s="126">
        <f t="shared" si="11"/>
        <v>145.75</v>
      </c>
      <c r="H31" s="126">
        <f t="shared" ca="1" si="12"/>
        <v>583</v>
      </c>
      <c r="I31" s="128">
        <f t="shared" si="13"/>
        <v>0.37994036456037866</v>
      </c>
      <c r="J31" s="128">
        <f t="shared" ca="1" si="14"/>
        <v>0.43915664708818503</v>
      </c>
      <c r="K31" s="23">
        <v>1.5</v>
      </c>
      <c r="L31" s="79"/>
    </row>
    <row r="32" spans="1:18" ht="14.15" customHeight="1" x14ac:dyDescent="0.35">
      <c r="A32" s="79"/>
      <c r="B32" s="74" t="s">
        <v>65</v>
      </c>
      <c r="C32" s="92" t="s">
        <v>18</v>
      </c>
      <c r="D32" s="125">
        <v>688.24</v>
      </c>
      <c r="E32" s="86">
        <f t="shared" ca="1" si="10"/>
        <v>2682.37</v>
      </c>
      <c r="F32" s="20">
        <v>8.99</v>
      </c>
      <c r="G32" s="126">
        <f t="shared" si="11"/>
        <v>6187.2776000000003</v>
      </c>
      <c r="H32" s="126">
        <f t="shared" ca="1" si="12"/>
        <v>24114.506300000001</v>
      </c>
      <c r="I32" s="128">
        <f t="shared" si="13"/>
        <v>10.459606260201401</v>
      </c>
      <c r="J32" s="128">
        <f t="shared" ca="1" si="14"/>
        <v>11.779806154499349</v>
      </c>
      <c r="K32" s="23">
        <v>8</v>
      </c>
      <c r="L32" s="79"/>
    </row>
    <row r="33" spans="1:18" ht="14.15" customHeight="1" x14ac:dyDescent="0.35">
      <c r="A33" s="79"/>
      <c r="B33" s="102" t="s">
        <v>66</v>
      </c>
      <c r="C33" s="103" t="s">
        <v>18</v>
      </c>
      <c r="D33" s="125"/>
      <c r="E33" s="86">
        <f t="shared" ca="1" si="10"/>
        <v>0</v>
      </c>
      <c r="F33" s="20">
        <v>24</v>
      </c>
      <c r="G33" s="126">
        <f t="shared" si="11"/>
        <v>0</v>
      </c>
      <c r="H33" s="126">
        <f t="shared" ca="1" si="12"/>
        <v>0</v>
      </c>
      <c r="I33" s="128">
        <f t="shared" si="13"/>
        <v>0</v>
      </c>
      <c r="J33" s="128">
        <f t="shared" ca="1" si="14"/>
        <v>0</v>
      </c>
      <c r="K33" s="23">
        <v>0</v>
      </c>
      <c r="L33" s="79"/>
      <c r="M33" s="79"/>
      <c r="N33" s="79"/>
      <c r="O33" s="79"/>
      <c r="P33" s="79"/>
      <c r="Q33" s="79"/>
      <c r="R33" s="79"/>
    </row>
    <row r="34" spans="1:18" ht="14.15" customHeight="1" x14ac:dyDescent="0.35">
      <c r="A34" s="79"/>
      <c r="B34" s="102" t="s">
        <v>67</v>
      </c>
      <c r="C34" s="103" t="s">
        <v>36</v>
      </c>
      <c r="D34" s="75">
        <v>150</v>
      </c>
      <c r="E34" s="86">
        <f t="shared" ca="1" si="10"/>
        <v>500</v>
      </c>
      <c r="F34" s="20">
        <v>5.83</v>
      </c>
      <c r="G34" s="126">
        <f t="shared" si="11"/>
        <v>874.5</v>
      </c>
      <c r="H34" s="126">
        <f t="shared" ca="1" si="12"/>
        <v>2915</v>
      </c>
      <c r="I34" s="128">
        <f t="shared" si="13"/>
        <v>2.2796421873622723</v>
      </c>
      <c r="J34" s="128">
        <f t="shared" ca="1" si="14"/>
        <v>2.195783235440925</v>
      </c>
      <c r="K34" s="23">
        <v>2</v>
      </c>
      <c r="L34" s="79"/>
      <c r="M34" s="79"/>
      <c r="N34" s="79"/>
      <c r="O34" s="79"/>
      <c r="P34" s="79"/>
      <c r="Q34" s="79"/>
      <c r="R34" s="79"/>
    </row>
    <row r="35" spans="1:18" ht="14.15" customHeight="1" x14ac:dyDescent="0.35">
      <c r="A35" s="79"/>
      <c r="B35" s="102" t="s">
        <v>68</v>
      </c>
      <c r="C35" s="103" t="s">
        <v>18</v>
      </c>
      <c r="D35" s="75">
        <v>75</v>
      </c>
      <c r="E35" s="86">
        <f t="shared" ca="1" si="10"/>
        <v>325</v>
      </c>
      <c r="F35" s="20">
        <v>5.83</v>
      </c>
      <c r="G35" s="126">
        <f t="shared" si="11"/>
        <v>437.25</v>
      </c>
      <c r="H35" s="126">
        <f t="shared" ca="1" si="12"/>
        <v>1894.75</v>
      </c>
      <c r="I35" s="128">
        <f t="shared" si="13"/>
        <v>1.1398210936811362</v>
      </c>
      <c r="J35" s="128">
        <f t="shared" ca="1" si="14"/>
        <v>1.4272591030366013</v>
      </c>
      <c r="K35" s="23">
        <v>1</v>
      </c>
      <c r="L35" s="79"/>
      <c r="M35" s="79"/>
      <c r="N35" s="79"/>
      <c r="O35" s="79"/>
      <c r="P35" s="79"/>
      <c r="Q35" s="79"/>
      <c r="R35" s="79"/>
    </row>
    <row r="36" spans="1:18" ht="14.15" customHeight="1" x14ac:dyDescent="0.35">
      <c r="A36" s="79"/>
      <c r="B36" s="102" t="s">
        <v>69</v>
      </c>
      <c r="C36" s="103" t="s">
        <v>18</v>
      </c>
      <c r="D36" s="75"/>
      <c r="E36" s="86">
        <f t="shared" ca="1" si="10"/>
        <v>0</v>
      </c>
      <c r="F36" s="20">
        <v>5.83</v>
      </c>
      <c r="G36" s="126">
        <f t="shared" si="11"/>
        <v>0</v>
      </c>
      <c r="H36" s="126">
        <f t="shared" ca="1" si="12"/>
        <v>0</v>
      </c>
      <c r="I36" s="128">
        <f t="shared" si="13"/>
        <v>0</v>
      </c>
      <c r="J36" s="128">
        <f t="shared" ca="1" si="14"/>
        <v>0</v>
      </c>
      <c r="K36" s="23">
        <v>1</v>
      </c>
      <c r="L36" s="79"/>
      <c r="M36" s="79"/>
      <c r="N36" s="79"/>
      <c r="O36" s="79"/>
      <c r="P36" s="79"/>
      <c r="Q36" s="79"/>
      <c r="R36" s="79"/>
    </row>
    <row r="37" spans="1:18" ht="8.25" customHeight="1" x14ac:dyDescent="0.3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R37" s="79"/>
    </row>
    <row r="38" spans="1:18" ht="14.5" x14ac:dyDescent="0.35">
      <c r="A38" s="79"/>
      <c r="B38" s="82" t="s">
        <v>70</v>
      </c>
      <c r="C38" s="82"/>
      <c r="D38" s="82" t="s">
        <v>5</v>
      </c>
      <c r="E38" s="82"/>
      <c r="F38" s="82" t="s">
        <v>71</v>
      </c>
      <c r="G38" s="82"/>
      <c r="H38" s="82"/>
      <c r="I38" s="82" t="s">
        <v>72</v>
      </c>
      <c r="J38" s="82"/>
      <c r="K38" s="82"/>
      <c r="L38" s="108"/>
      <c r="M38" s="108"/>
      <c r="N38" s="108"/>
      <c r="O38" s="108"/>
      <c r="P38" s="108"/>
      <c r="Q38" s="108"/>
      <c r="R38" s="79"/>
    </row>
    <row r="39" spans="1:18" ht="15.75" customHeight="1" x14ac:dyDescent="0.35">
      <c r="A39" s="79"/>
      <c r="B39" s="10"/>
      <c r="C39" s="10"/>
      <c r="D39" s="10" t="s">
        <v>12</v>
      </c>
      <c r="E39" s="10" t="s">
        <v>13</v>
      </c>
      <c r="F39" s="10" t="s">
        <v>14</v>
      </c>
      <c r="G39" s="10" t="s">
        <v>0</v>
      </c>
      <c r="H39" s="10" t="s">
        <v>13</v>
      </c>
      <c r="I39" s="10" t="s">
        <v>0</v>
      </c>
      <c r="J39" s="10" t="s">
        <v>13</v>
      </c>
      <c r="K39" s="10" t="s">
        <v>15</v>
      </c>
      <c r="L39" s="79"/>
      <c r="M39" s="79"/>
      <c r="N39" s="79"/>
      <c r="O39" s="79"/>
      <c r="P39" s="79"/>
      <c r="Q39" s="79"/>
      <c r="R39" s="79"/>
    </row>
    <row r="40" spans="1:18" ht="12.75" customHeight="1" x14ac:dyDescent="0.35">
      <c r="A40" s="79"/>
      <c r="B40" s="88" t="s">
        <v>29</v>
      </c>
      <c r="C40" s="89" t="s">
        <v>18</v>
      </c>
      <c r="D40" s="125">
        <v>125</v>
      </c>
      <c r="E40" s="86">
        <f t="shared" ref="E40:E53" ca="1" si="15">INDIRECT("'" &amp; $S$2 &amp; "'!E" &amp; ROW()) + D40</f>
        <v>800</v>
      </c>
      <c r="F40" s="20">
        <v>5.83</v>
      </c>
      <c r="G40" s="126">
        <f t="shared" ref="G40:G53" si="16">D40*F40</f>
        <v>728.75</v>
      </c>
      <c r="H40" s="126">
        <f t="shared" ref="H40:H53" ca="1" si="17">INDIRECT("'" &amp; $S$2 &amp; "'!H" &amp; ROW()) + G40</f>
        <v>4664</v>
      </c>
      <c r="I40" s="127">
        <f t="shared" ref="I40:I53" si="18">IF($N$16=0,0,D40/$N$16*1000)</f>
        <v>1.8997018228018934</v>
      </c>
      <c r="J40" s="127">
        <f t="shared" ref="J40:J53" ca="1" si="19">IF($O$16=0,0,E40/$O$16*1000)</f>
        <v>3.5132531767054802</v>
      </c>
      <c r="K40" s="55">
        <v>6</v>
      </c>
      <c r="L40" s="79"/>
      <c r="M40" s="79"/>
      <c r="N40" s="79"/>
      <c r="O40" s="79"/>
      <c r="P40" s="79"/>
      <c r="Q40" s="79"/>
      <c r="R40" s="79"/>
    </row>
    <row r="41" spans="1:18" ht="12.75" customHeight="1" x14ac:dyDescent="0.35">
      <c r="A41" s="79"/>
      <c r="B41" s="74" t="s">
        <v>73</v>
      </c>
      <c r="C41" s="92" t="s">
        <v>18</v>
      </c>
      <c r="D41" s="125">
        <v>100</v>
      </c>
      <c r="E41" s="86">
        <f t="shared" ca="1" si="15"/>
        <v>650</v>
      </c>
      <c r="F41" s="20">
        <v>37.840000000000003</v>
      </c>
      <c r="G41" s="126">
        <f t="shared" si="16"/>
        <v>3784.0000000000005</v>
      </c>
      <c r="H41" s="126">
        <f t="shared" ca="1" si="17"/>
        <v>24596.000000000004</v>
      </c>
      <c r="I41" s="127">
        <f t="shared" si="18"/>
        <v>1.5197614582415147</v>
      </c>
      <c r="J41" s="127">
        <f t="shared" ca="1" si="19"/>
        <v>2.8545182060732026</v>
      </c>
      <c r="K41" s="55">
        <v>3</v>
      </c>
      <c r="L41" s="79"/>
      <c r="M41" s="79"/>
      <c r="N41" s="79"/>
      <c r="O41" s="79"/>
      <c r="P41" s="79"/>
      <c r="Q41" s="79"/>
      <c r="R41" s="79"/>
    </row>
    <row r="42" spans="1:18" ht="12.75" customHeight="1" x14ac:dyDescent="0.35">
      <c r="A42" s="79"/>
      <c r="B42" s="74" t="s">
        <v>74</v>
      </c>
      <c r="C42" s="92" t="s">
        <v>18</v>
      </c>
      <c r="D42" s="125">
        <v>25</v>
      </c>
      <c r="E42" s="86">
        <f t="shared" ca="1" si="15"/>
        <v>63.5</v>
      </c>
      <c r="F42" s="20">
        <v>21</v>
      </c>
      <c r="G42" s="126">
        <f t="shared" si="16"/>
        <v>525</v>
      </c>
      <c r="H42" s="126">
        <f t="shared" ca="1" si="17"/>
        <v>1333.5</v>
      </c>
      <c r="I42" s="127">
        <f t="shared" si="18"/>
        <v>0.37994036456037866</v>
      </c>
      <c r="J42" s="127">
        <f t="shared" ca="1" si="19"/>
        <v>0.27886447090099747</v>
      </c>
      <c r="K42" s="55">
        <v>0.35</v>
      </c>
      <c r="L42" s="79"/>
      <c r="M42" s="129"/>
      <c r="N42" s="79"/>
      <c r="O42" s="79"/>
      <c r="P42" s="79"/>
      <c r="Q42" s="79"/>
      <c r="R42" s="79"/>
    </row>
    <row r="43" spans="1:18" ht="12.75" customHeight="1" x14ac:dyDescent="0.35">
      <c r="A43" s="79"/>
      <c r="B43" s="74" t="s">
        <v>75</v>
      </c>
      <c r="C43" s="92" t="s">
        <v>18</v>
      </c>
      <c r="D43" s="125">
        <v>262.5</v>
      </c>
      <c r="E43" s="86">
        <f t="shared" ca="1" si="15"/>
        <v>1642.5</v>
      </c>
      <c r="F43" s="20">
        <v>2.9</v>
      </c>
      <c r="G43" s="126">
        <f t="shared" si="16"/>
        <v>761.25</v>
      </c>
      <c r="H43" s="126">
        <f t="shared" ca="1" si="17"/>
        <v>4763.25</v>
      </c>
      <c r="I43" s="127">
        <f t="shared" si="18"/>
        <v>3.9893738278839757</v>
      </c>
      <c r="J43" s="127">
        <f t="shared" ca="1" si="19"/>
        <v>7.2131479284234397</v>
      </c>
      <c r="K43" s="55">
        <v>7</v>
      </c>
      <c r="L43" s="79"/>
      <c r="M43" s="129"/>
      <c r="N43" s="79"/>
      <c r="O43" s="79"/>
      <c r="P43" s="79"/>
      <c r="Q43" s="79"/>
      <c r="R43" s="79"/>
    </row>
    <row r="44" spans="1:18" ht="12.75" customHeight="1" x14ac:dyDescent="0.35">
      <c r="A44" s="79"/>
      <c r="B44" s="74" t="s">
        <v>76</v>
      </c>
      <c r="C44" s="92" t="s">
        <v>18</v>
      </c>
      <c r="D44" s="125">
        <v>25</v>
      </c>
      <c r="E44" s="86">
        <f t="shared" ca="1" si="15"/>
        <v>80</v>
      </c>
      <c r="F44" s="20">
        <v>24</v>
      </c>
      <c r="G44" s="126">
        <f t="shared" si="16"/>
        <v>600</v>
      </c>
      <c r="H44" s="126">
        <f t="shared" ca="1" si="17"/>
        <v>1920</v>
      </c>
      <c r="I44" s="127">
        <f t="shared" si="18"/>
        <v>0.37994036456037866</v>
      </c>
      <c r="J44" s="127">
        <f t="shared" ca="1" si="19"/>
        <v>0.35132531767054803</v>
      </c>
      <c r="K44" s="55">
        <v>0.3</v>
      </c>
      <c r="L44" s="79"/>
      <c r="M44" s="129"/>
      <c r="N44" s="79"/>
      <c r="O44" s="79"/>
      <c r="P44" s="79"/>
      <c r="Q44" s="79"/>
      <c r="R44" s="79"/>
    </row>
    <row r="45" spans="1:18" ht="12.75" customHeight="1" x14ac:dyDescent="0.35">
      <c r="A45" s="79"/>
      <c r="B45" s="74" t="s">
        <v>77</v>
      </c>
      <c r="C45" s="92" t="s">
        <v>18</v>
      </c>
      <c r="D45" s="125">
        <v>502.85</v>
      </c>
      <c r="E45" s="86">
        <f t="shared" ca="1" si="15"/>
        <v>5933.63</v>
      </c>
      <c r="F45" s="20">
        <v>0.64</v>
      </c>
      <c r="G45" s="126">
        <f t="shared" si="16"/>
        <v>321.82400000000001</v>
      </c>
      <c r="H45" s="126">
        <f t="shared" ca="1" si="17"/>
        <v>3797.5232000000001</v>
      </c>
      <c r="I45" s="127">
        <f t="shared" si="18"/>
        <v>7.6421204927674564</v>
      </c>
      <c r="J45" s="127">
        <f t="shared" ca="1" si="19"/>
        <v>26.057930558618676</v>
      </c>
      <c r="K45" s="55">
        <v>12</v>
      </c>
      <c r="L45" s="79"/>
      <c r="M45" s="129"/>
      <c r="N45" s="79"/>
      <c r="O45" s="79"/>
      <c r="P45" s="79"/>
      <c r="Q45" s="79"/>
      <c r="R45" s="79"/>
    </row>
    <row r="46" spans="1:18" ht="12.75" customHeight="1" x14ac:dyDescent="0.35">
      <c r="A46" s="79"/>
      <c r="B46" s="74" t="s">
        <v>78</v>
      </c>
      <c r="C46" s="92" t="s">
        <v>18</v>
      </c>
      <c r="D46" s="125">
        <v>15</v>
      </c>
      <c r="E46" s="86">
        <f t="shared" ca="1" si="15"/>
        <v>65</v>
      </c>
      <c r="F46" s="20">
        <v>24</v>
      </c>
      <c r="G46" s="126">
        <f t="shared" si="16"/>
        <v>360</v>
      </c>
      <c r="H46" s="126">
        <f t="shared" ca="1" si="17"/>
        <v>1560</v>
      </c>
      <c r="I46" s="127">
        <f t="shared" si="18"/>
        <v>0.22796421873622719</v>
      </c>
      <c r="J46" s="127">
        <f t="shared" ca="1" si="19"/>
        <v>0.28545182060732027</v>
      </c>
      <c r="K46" s="55">
        <v>0.4</v>
      </c>
      <c r="L46" s="79"/>
      <c r="M46" s="129"/>
      <c r="N46" s="79"/>
      <c r="O46" s="79"/>
      <c r="P46" s="79"/>
      <c r="Q46" s="79"/>
      <c r="R46" s="79"/>
    </row>
    <row r="47" spans="1:18" ht="12.75" customHeight="1" x14ac:dyDescent="0.35">
      <c r="A47" s="79"/>
      <c r="B47" s="74" t="s">
        <v>79</v>
      </c>
      <c r="C47" s="92" t="s">
        <v>18</v>
      </c>
      <c r="D47" s="125"/>
      <c r="E47" s="86">
        <f t="shared" ca="1" si="15"/>
        <v>0</v>
      </c>
      <c r="F47" s="20">
        <v>41.96</v>
      </c>
      <c r="G47" s="126">
        <f t="shared" si="16"/>
        <v>0</v>
      </c>
      <c r="H47" s="126">
        <f t="shared" ca="1" si="17"/>
        <v>0</v>
      </c>
      <c r="I47" s="127">
        <f t="shared" si="18"/>
        <v>0</v>
      </c>
      <c r="J47" s="127">
        <f t="shared" ca="1" si="19"/>
        <v>0</v>
      </c>
      <c r="K47" s="55">
        <v>0.2</v>
      </c>
      <c r="L47" s="79"/>
      <c r="M47" s="129"/>
      <c r="N47" s="79"/>
      <c r="O47" s="79"/>
      <c r="P47" s="79"/>
      <c r="Q47" s="79"/>
      <c r="R47" s="79"/>
    </row>
    <row r="48" spans="1:18" ht="12.75" customHeight="1" x14ac:dyDescent="0.35">
      <c r="B48" s="74" t="s">
        <v>80</v>
      </c>
      <c r="C48" s="92" t="s">
        <v>18</v>
      </c>
      <c r="D48" s="125">
        <v>113.88</v>
      </c>
      <c r="E48" s="86">
        <f t="shared" ca="1" si="15"/>
        <v>554.98</v>
      </c>
      <c r="F48" s="20">
        <v>23.51</v>
      </c>
      <c r="G48" s="126">
        <f t="shared" si="16"/>
        <v>2677.3188</v>
      </c>
      <c r="H48" s="126">
        <f t="shared" ca="1" si="17"/>
        <v>13047.5798</v>
      </c>
      <c r="I48" s="127">
        <f t="shared" si="18"/>
        <v>1.7307043486454368</v>
      </c>
      <c r="J48" s="127">
        <f t="shared" ca="1" si="19"/>
        <v>2.4372315600100096</v>
      </c>
      <c r="K48" s="55">
        <v>2</v>
      </c>
      <c r="M48" s="129"/>
    </row>
    <row r="49" spans="2:13" ht="12.75" customHeight="1" x14ac:dyDescent="0.35">
      <c r="B49" s="74" t="s">
        <v>81</v>
      </c>
      <c r="C49" s="92" t="s">
        <v>18</v>
      </c>
      <c r="D49" s="125"/>
      <c r="E49" s="86">
        <f t="shared" ca="1" si="15"/>
        <v>0</v>
      </c>
      <c r="F49" s="20">
        <v>41.96</v>
      </c>
      <c r="G49" s="126">
        <f t="shared" si="16"/>
        <v>0</v>
      </c>
      <c r="H49" s="126">
        <f t="shared" ca="1" si="17"/>
        <v>0</v>
      </c>
      <c r="I49" s="127">
        <f t="shared" si="18"/>
        <v>0</v>
      </c>
      <c r="J49" s="127">
        <f t="shared" ca="1" si="19"/>
        <v>0</v>
      </c>
      <c r="K49" s="55">
        <v>0.5</v>
      </c>
      <c r="M49" s="129"/>
    </row>
    <row r="50" spans="2:13" ht="12.75" customHeight="1" x14ac:dyDescent="0.35">
      <c r="B50" s="74" t="s">
        <v>82</v>
      </c>
      <c r="C50" s="130" t="s">
        <v>18</v>
      </c>
      <c r="D50" s="125">
        <v>23.4</v>
      </c>
      <c r="E50" s="86">
        <f t="shared" ca="1" si="15"/>
        <v>64.66</v>
      </c>
      <c r="F50" s="20">
        <v>43.43</v>
      </c>
      <c r="G50" s="126">
        <f t="shared" si="16"/>
        <v>1016.2619999999999</v>
      </c>
      <c r="H50" s="126">
        <f t="shared" ca="1" si="17"/>
        <v>2808.1837999999998</v>
      </c>
      <c r="I50" s="127">
        <f t="shared" si="18"/>
        <v>0.35562418122851441</v>
      </c>
      <c r="J50" s="126">
        <f t="shared" ca="1" si="19"/>
        <v>0.28395868800722041</v>
      </c>
      <c r="K50" s="55">
        <v>0.05</v>
      </c>
    </row>
    <row r="51" spans="2:13" ht="12.75" customHeight="1" x14ac:dyDescent="0.35">
      <c r="B51" s="74" t="s">
        <v>63</v>
      </c>
      <c r="C51" s="89" t="s">
        <v>18</v>
      </c>
      <c r="D51" s="75">
        <v>1101.67</v>
      </c>
      <c r="E51" s="86">
        <f t="shared" ca="1" si="15"/>
        <v>4406.7800000000007</v>
      </c>
      <c r="F51" s="76">
        <v>1.03</v>
      </c>
      <c r="G51" s="126">
        <f t="shared" si="16"/>
        <v>1134.7201</v>
      </c>
      <c r="H51" s="126">
        <f t="shared" ca="1" si="17"/>
        <v>4538.9834000000001</v>
      </c>
      <c r="I51" s="127">
        <f t="shared" si="18"/>
        <v>16.742756057009299</v>
      </c>
      <c r="J51" s="126">
        <f t="shared" ca="1" si="19"/>
        <v>19.352667292552724</v>
      </c>
      <c r="K51" s="55">
        <v>0</v>
      </c>
    </row>
    <row r="52" spans="2:13" ht="12.75" customHeight="1" x14ac:dyDescent="0.35">
      <c r="B52" s="74" t="s">
        <v>83</v>
      </c>
      <c r="C52" s="28" t="s">
        <v>36</v>
      </c>
      <c r="D52" s="75"/>
      <c r="E52" s="86">
        <f t="shared" ca="1" si="15"/>
        <v>0</v>
      </c>
      <c r="F52" s="76">
        <v>26.1</v>
      </c>
      <c r="G52" s="20">
        <f t="shared" si="16"/>
        <v>0</v>
      </c>
      <c r="H52" s="126">
        <f t="shared" ca="1" si="17"/>
        <v>0</v>
      </c>
      <c r="I52" s="127">
        <f t="shared" si="18"/>
        <v>0</v>
      </c>
      <c r="J52" s="126">
        <f t="shared" ca="1" si="19"/>
        <v>0</v>
      </c>
      <c r="K52" s="23">
        <v>2.5</v>
      </c>
    </row>
    <row r="53" spans="2:13" ht="12.75" customHeight="1" x14ac:dyDescent="0.35">
      <c r="B53" s="74" t="s">
        <v>91</v>
      </c>
      <c r="C53" s="28" t="s">
        <v>36</v>
      </c>
      <c r="D53" s="75">
        <v>21.67</v>
      </c>
      <c r="E53" s="86">
        <f t="shared" ca="1" si="15"/>
        <v>48.89</v>
      </c>
      <c r="F53" s="76">
        <v>26.42</v>
      </c>
      <c r="G53" s="20">
        <f t="shared" si="16"/>
        <v>572.52140000000009</v>
      </c>
      <c r="H53" s="126">
        <f t="shared" ca="1" si="17"/>
        <v>1291.6738</v>
      </c>
      <c r="I53" s="127">
        <f t="shared" si="18"/>
        <v>0.32933230800093627</v>
      </c>
      <c r="J53" s="126">
        <f t="shared" ca="1" si="19"/>
        <v>0.21470368476141369</v>
      </c>
      <c r="K53" s="23">
        <v>0.3</v>
      </c>
    </row>
  </sheetData>
  <mergeCells count="7">
    <mergeCell ref="F16:H16"/>
    <mergeCell ref="I16:J16"/>
    <mergeCell ref="E2:P2"/>
    <mergeCell ref="C3:G3"/>
    <mergeCell ref="D4:E4"/>
    <mergeCell ref="F4:H4"/>
    <mergeCell ref="I4:J4"/>
  </mergeCells>
  <printOptions horizontalCentered="1" verticalCentered="1"/>
  <pageMargins left="0" right="0" top="0" bottom="0" header="0.511811023622047" footer="0.511811023622047"/>
  <pageSetup paperSize="9" scale="8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53"/>
  <sheetViews>
    <sheetView showGridLines="0" zoomScale="90" zoomScaleNormal="90" workbookViewId="0">
      <selection activeCell="I6" sqref="I6"/>
    </sheetView>
  </sheetViews>
  <sheetFormatPr defaultColWidth="9.1796875" defaultRowHeight="15" customHeight="1" x14ac:dyDescent="0.35"/>
  <cols>
    <col min="1" max="1" width="1.81640625" style="78" customWidth="1"/>
    <col min="2" max="2" width="21.54296875" style="78" customWidth="1"/>
    <col min="3" max="3" width="3.54296875" style="78" customWidth="1"/>
    <col min="4" max="4" width="10.453125" style="78" customWidth="1"/>
    <col min="5" max="5" width="7.7265625" style="78" customWidth="1"/>
    <col min="6" max="6" width="12" style="78" customWidth="1"/>
    <col min="7" max="7" width="9.453125" style="78" customWidth="1"/>
    <col min="8" max="8" width="9.81640625" style="78" customWidth="1"/>
    <col min="9" max="9" width="9.26953125" style="78" customWidth="1"/>
    <col min="10" max="10" width="7.54296875" style="78" customWidth="1"/>
    <col min="11" max="11" width="6.54296875" style="78" customWidth="1"/>
    <col min="12" max="12" width="5.453125" style="78" customWidth="1"/>
    <col min="13" max="13" width="22.7265625" style="78" customWidth="1"/>
    <col min="14" max="14" width="13.453125" style="78" customWidth="1"/>
    <col min="15" max="15" width="13.81640625" style="78" customWidth="1"/>
    <col min="16" max="16" width="13.54296875" style="78" customWidth="1"/>
    <col min="17" max="17" width="10.26953125" style="78" customWidth="1"/>
    <col min="18" max="1024" width="9.08984375" style="78"/>
  </cols>
  <sheetData>
    <row r="1" spans="1:19" ht="7.5" customHeight="1" x14ac:dyDescent="0.35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9" ht="20.25" customHeight="1" x14ac:dyDescent="0.35">
      <c r="A2" s="79"/>
      <c r="B2" s="80" t="s">
        <v>0</v>
      </c>
      <c r="C2" s="79"/>
      <c r="D2" s="79"/>
      <c r="E2" s="137" t="s">
        <v>1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79"/>
      <c r="R2" s="79"/>
      <c r="S2" s="78" t="s">
        <v>94</v>
      </c>
    </row>
    <row r="3" spans="1:19" ht="10.5" customHeight="1" x14ac:dyDescent="0.35">
      <c r="A3" s="79"/>
      <c r="B3" s="81">
        <v>5</v>
      </c>
      <c r="C3" s="138" t="s">
        <v>95</v>
      </c>
      <c r="D3" s="138"/>
      <c r="E3" s="138"/>
      <c r="F3" s="138"/>
      <c r="G3" s="13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 spans="1:19" ht="14.5" x14ac:dyDescent="0.35">
      <c r="A4" s="79"/>
      <c r="B4" s="82" t="s">
        <v>3</v>
      </c>
      <c r="C4" s="82"/>
      <c r="D4" s="136" t="s">
        <v>5</v>
      </c>
      <c r="E4" s="136"/>
      <c r="F4" s="136" t="s">
        <v>6</v>
      </c>
      <c r="G4" s="136"/>
      <c r="H4" s="136"/>
      <c r="I4" s="136" t="s">
        <v>7</v>
      </c>
      <c r="J4" s="136"/>
      <c r="K4" s="82"/>
      <c r="L4" s="82"/>
      <c r="M4" s="82" t="s">
        <v>8</v>
      </c>
      <c r="N4" s="83" t="s">
        <v>9</v>
      </c>
      <c r="O4" s="83" t="s">
        <v>10</v>
      </c>
      <c r="P4" s="83" t="s">
        <v>11</v>
      </c>
      <c r="Q4" s="84"/>
      <c r="R4" s="79"/>
    </row>
    <row r="5" spans="1:19" ht="14.5" x14ac:dyDescent="0.35">
      <c r="A5" s="79"/>
      <c r="B5" s="10"/>
      <c r="C5" s="10"/>
      <c r="D5" s="10" t="s">
        <v>12</v>
      </c>
      <c r="E5" s="10" t="s">
        <v>13</v>
      </c>
      <c r="F5" s="10" t="s">
        <v>14</v>
      </c>
      <c r="G5" s="10" t="s">
        <v>0</v>
      </c>
      <c r="H5" s="10" t="s">
        <v>13</v>
      </c>
      <c r="I5" s="10" t="s">
        <v>0</v>
      </c>
      <c r="J5" s="10" t="s">
        <v>13</v>
      </c>
      <c r="K5" s="10" t="s">
        <v>15</v>
      </c>
      <c r="L5" s="79"/>
      <c r="M5" s="43" t="s">
        <v>16</v>
      </c>
      <c r="N5" s="85">
        <v>71047</v>
      </c>
      <c r="O5" s="86">
        <f ca="1">INDIRECT("'" &amp; $S$2 &amp; "'!O" &amp; ROW()) + N5</f>
        <v>314705</v>
      </c>
      <c r="P5" s="85">
        <v>245951</v>
      </c>
      <c r="Q5" s="87"/>
      <c r="R5" s="79"/>
    </row>
    <row r="6" spans="1:19" ht="14.15" customHeight="1" x14ac:dyDescent="0.35">
      <c r="A6" s="79"/>
      <c r="B6" s="88" t="s">
        <v>17</v>
      </c>
      <c r="C6" s="89" t="s">
        <v>18</v>
      </c>
      <c r="D6" s="125">
        <v>9240.2099999999991</v>
      </c>
      <c r="E6" s="86">
        <f t="shared" ref="E6:E14" ca="1" si="0">INDIRECT("'" &amp; $S$2 &amp; "'!E" &amp; ROW()) + D6</f>
        <v>55565.35</v>
      </c>
      <c r="F6" s="20">
        <v>8.6</v>
      </c>
      <c r="G6" s="126">
        <f t="shared" ref="G6:G14" si="1">F6*D6</f>
        <v>79465.805999999982</v>
      </c>
      <c r="H6" s="126">
        <f t="shared" ref="H6:H14" ca="1" si="2">INDIRECT("'" &amp; $S$2 &amp; "'!H" &amp; ROW()) + G6</f>
        <v>197131.66159999999</v>
      </c>
      <c r="I6" s="127">
        <f>IF($N$9=0,0,D6/$N$9*1000)</f>
        <v>3.5392567040386824</v>
      </c>
      <c r="J6" s="127">
        <f ca="1">IF($O$9=0,0,E6/$O$9*1000)</f>
        <v>4.8368890968771465</v>
      </c>
      <c r="K6" s="23">
        <v>9.8000000000000007</v>
      </c>
      <c r="L6" s="79"/>
      <c r="M6" s="43" t="s">
        <v>19</v>
      </c>
      <c r="N6" s="85"/>
      <c r="O6" s="86">
        <f>'semana 1'!O6+N6</f>
        <v>0</v>
      </c>
      <c r="P6" s="85"/>
      <c r="R6" s="79"/>
    </row>
    <row r="7" spans="1:19" ht="14.15" customHeight="1" x14ac:dyDescent="0.35">
      <c r="A7" s="79"/>
      <c r="B7" s="74" t="s">
        <v>20</v>
      </c>
      <c r="C7" s="92" t="s">
        <v>18</v>
      </c>
      <c r="D7" s="125"/>
      <c r="E7" s="86">
        <f t="shared" ca="1" si="0"/>
        <v>70</v>
      </c>
      <c r="F7" s="20">
        <v>599</v>
      </c>
      <c r="G7" s="126">
        <f t="shared" si="1"/>
        <v>0</v>
      </c>
      <c r="H7" s="126">
        <f t="shared" ca="1" si="2"/>
        <v>41930</v>
      </c>
      <c r="I7" s="128">
        <f t="shared" ref="I7:I14" si="3">IF($N$9=0,0,D7/$N$9*1000)*1000</f>
        <v>0</v>
      </c>
      <c r="J7" s="128">
        <f t="shared" ref="J7:J14" ca="1" si="4">IF($O$9=0,0,E7/$O$9*1000)*1000</f>
        <v>6.0934059945883581</v>
      </c>
      <c r="K7" s="23">
        <v>6.8</v>
      </c>
      <c r="L7" s="79"/>
      <c r="M7" s="43" t="s">
        <v>21</v>
      </c>
      <c r="N7" s="85"/>
      <c r="O7" s="86">
        <f>'semana 1'!O7+N7</f>
        <v>0</v>
      </c>
      <c r="P7" s="85"/>
      <c r="Q7" s="87"/>
      <c r="R7" s="79"/>
    </row>
    <row r="8" spans="1:19" ht="14.15" customHeight="1" x14ac:dyDescent="0.35">
      <c r="A8" s="79"/>
      <c r="B8" s="74" t="s">
        <v>22</v>
      </c>
      <c r="C8" s="92" t="s">
        <v>18</v>
      </c>
      <c r="D8" s="125">
        <v>1515</v>
      </c>
      <c r="E8" s="86">
        <f t="shared" ca="1" si="0"/>
        <v>8820</v>
      </c>
      <c r="F8" s="20">
        <v>15</v>
      </c>
      <c r="G8" s="126">
        <f t="shared" si="1"/>
        <v>22725</v>
      </c>
      <c r="H8" s="126">
        <f t="shared" ca="1" si="2"/>
        <v>125642.4</v>
      </c>
      <c r="I8" s="128">
        <f t="shared" si="3"/>
        <v>580.28701800268652</v>
      </c>
      <c r="J8" s="128">
        <f t="shared" ca="1" si="4"/>
        <v>767.76915531813313</v>
      </c>
      <c r="K8" s="23">
        <v>400</v>
      </c>
      <c r="L8" s="79"/>
      <c r="M8" s="49" t="s">
        <v>23</v>
      </c>
      <c r="N8" s="94">
        <v>2610777</v>
      </c>
      <c r="O8" s="86">
        <f ca="1">INDIRECT("'" &amp; $S$2 &amp; "'!O" &amp; ROW()) + N8</f>
        <v>11487828</v>
      </c>
      <c r="P8" s="94">
        <v>4246894</v>
      </c>
      <c r="Q8" s="87"/>
      <c r="R8" s="79"/>
    </row>
    <row r="9" spans="1:19" ht="14.15" customHeight="1" x14ac:dyDescent="0.35">
      <c r="A9" s="79"/>
      <c r="B9" s="74" t="s">
        <v>24</v>
      </c>
      <c r="C9" s="92" t="s">
        <v>18</v>
      </c>
      <c r="D9" s="125">
        <v>923.53</v>
      </c>
      <c r="E9" s="86">
        <f t="shared" ca="1" si="0"/>
        <v>4440.22</v>
      </c>
      <c r="F9" s="20">
        <v>25.15</v>
      </c>
      <c r="G9" s="126">
        <f t="shared" si="1"/>
        <v>23226.779499999997</v>
      </c>
      <c r="H9" s="126">
        <f t="shared" ca="1" si="2"/>
        <v>111671.533</v>
      </c>
      <c r="I9" s="128">
        <f t="shared" si="3"/>
        <v>353.73760378615253</v>
      </c>
      <c r="J9" s="128">
        <f t="shared" ca="1" si="4"/>
        <v>386.51518807558756</v>
      </c>
      <c r="K9" s="23">
        <v>200</v>
      </c>
      <c r="L9" s="79"/>
      <c r="M9" s="34" t="s">
        <v>25</v>
      </c>
      <c r="N9" s="95">
        <f>SUM(N7:N8)</f>
        <v>2610777</v>
      </c>
      <c r="O9" s="95">
        <f ca="1">SUM(O7:O8)</f>
        <v>11487828</v>
      </c>
      <c r="P9" s="96"/>
      <c r="Q9" s="97"/>
      <c r="R9" s="79"/>
    </row>
    <row r="10" spans="1:19" ht="14.15" customHeight="1" x14ac:dyDescent="0.35">
      <c r="A10" s="79"/>
      <c r="B10" s="74" t="s">
        <v>26</v>
      </c>
      <c r="C10" s="92" t="s">
        <v>18</v>
      </c>
      <c r="D10" s="125"/>
      <c r="E10" s="86">
        <f t="shared" ca="1" si="0"/>
        <v>100</v>
      </c>
      <c r="F10" s="20">
        <v>10.98</v>
      </c>
      <c r="G10" s="126">
        <f t="shared" si="1"/>
        <v>0</v>
      </c>
      <c r="H10" s="126">
        <f t="shared" ca="1" si="2"/>
        <v>1098</v>
      </c>
      <c r="I10" s="128">
        <f t="shared" si="3"/>
        <v>0</v>
      </c>
      <c r="J10" s="128">
        <f t="shared" ca="1" si="4"/>
        <v>8.7048657065548003</v>
      </c>
      <c r="K10" s="23">
        <v>10</v>
      </c>
      <c r="L10" s="79"/>
      <c r="M10" s="38" t="s">
        <v>27</v>
      </c>
      <c r="N10" s="98">
        <f>SUM(N5:N6)</f>
        <v>71047</v>
      </c>
      <c r="O10" s="98">
        <f ca="1">SUM(O5:O6)</f>
        <v>314705</v>
      </c>
      <c r="P10" s="99"/>
      <c r="Q10" s="100"/>
      <c r="R10" s="79"/>
    </row>
    <row r="11" spans="1:19" ht="14.15" customHeight="1" x14ac:dyDescent="0.35">
      <c r="A11" s="79"/>
      <c r="B11" s="74" t="s">
        <v>28</v>
      </c>
      <c r="C11" s="92" t="s">
        <v>18</v>
      </c>
      <c r="D11" s="125"/>
      <c r="E11" s="86">
        <f t="shared" ca="1" si="0"/>
        <v>2653.34</v>
      </c>
      <c r="F11" s="20">
        <v>4.13</v>
      </c>
      <c r="G11" s="126">
        <f t="shared" si="1"/>
        <v>0</v>
      </c>
      <c r="H11" s="126">
        <f t="shared" ca="1" si="2"/>
        <v>10958.2942</v>
      </c>
      <c r="I11" s="128">
        <f t="shared" si="3"/>
        <v>0</v>
      </c>
      <c r="J11" s="128">
        <f t="shared" ca="1" si="4"/>
        <v>230.96968373830111</v>
      </c>
      <c r="K11" s="23"/>
      <c r="L11" s="79"/>
      <c r="R11" s="79"/>
    </row>
    <row r="12" spans="1:19" ht="14.15" customHeight="1" x14ac:dyDescent="0.35">
      <c r="A12" s="79"/>
      <c r="B12" s="74" t="s">
        <v>29</v>
      </c>
      <c r="C12" s="92" t="s">
        <v>18</v>
      </c>
      <c r="D12" s="125">
        <v>925</v>
      </c>
      <c r="E12" s="86">
        <f t="shared" ca="1" si="0"/>
        <v>3925</v>
      </c>
      <c r="F12" s="20">
        <v>5.83</v>
      </c>
      <c r="G12" s="126">
        <f t="shared" si="1"/>
        <v>5392.75</v>
      </c>
      <c r="H12" s="126">
        <f t="shared" ca="1" si="2"/>
        <v>22882.75</v>
      </c>
      <c r="I12" s="128">
        <f t="shared" si="3"/>
        <v>354.30065455609571</v>
      </c>
      <c r="J12" s="128">
        <f t="shared" ca="1" si="4"/>
        <v>341.66597898227587</v>
      </c>
      <c r="K12" s="23">
        <v>400</v>
      </c>
      <c r="L12" s="79"/>
      <c r="M12" s="56" t="s">
        <v>30</v>
      </c>
      <c r="N12" s="101"/>
      <c r="O12" s="101"/>
      <c r="P12" s="101"/>
      <c r="R12" s="79"/>
    </row>
    <row r="13" spans="1:19" ht="14.15" customHeight="1" x14ac:dyDescent="0.35">
      <c r="A13" s="79"/>
      <c r="B13" s="74" t="s">
        <v>31</v>
      </c>
      <c r="C13" s="92" t="s">
        <v>18</v>
      </c>
      <c r="D13" s="125">
        <v>1008.33</v>
      </c>
      <c r="E13" s="86">
        <f t="shared" ca="1" si="0"/>
        <v>3068.8999999999996</v>
      </c>
      <c r="F13" s="20">
        <v>6</v>
      </c>
      <c r="G13" s="126">
        <f t="shared" si="1"/>
        <v>6049.9800000000005</v>
      </c>
      <c r="H13" s="126">
        <f t="shared" ca="1" si="2"/>
        <v>18413.399999999998</v>
      </c>
      <c r="I13" s="128">
        <f t="shared" si="3"/>
        <v>386.21835568491679</v>
      </c>
      <c r="J13" s="128">
        <f t="shared" ca="1" si="4"/>
        <v>267.14362366846024</v>
      </c>
      <c r="K13" s="23">
        <v>500</v>
      </c>
      <c r="L13" s="79"/>
      <c r="M13" s="43" t="s">
        <v>32</v>
      </c>
      <c r="N13" s="44" t="s">
        <v>0</v>
      </c>
      <c r="O13" s="44" t="s">
        <v>33</v>
      </c>
      <c r="P13" s="44" t="s">
        <v>34</v>
      </c>
      <c r="R13" s="79"/>
    </row>
    <row r="14" spans="1:19" ht="14.15" customHeight="1" x14ac:dyDescent="0.35">
      <c r="A14" s="79"/>
      <c r="B14" s="102" t="s">
        <v>35</v>
      </c>
      <c r="C14" s="103" t="s">
        <v>18</v>
      </c>
      <c r="D14" s="125">
        <v>10</v>
      </c>
      <c r="E14" s="86">
        <f t="shared" ca="1" si="0"/>
        <v>35</v>
      </c>
      <c r="F14" s="20">
        <v>425</v>
      </c>
      <c r="G14" s="126">
        <f t="shared" si="1"/>
        <v>4250</v>
      </c>
      <c r="H14" s="126">
        <f t="shared" ca="1" si="2"/>
        <v>14875</v>
      </c>
      <c r="I14" s="128">
        <f t="shared" si="3"/>
        <v>3.8302773465523865</v>
      </c>
      <c r="J14" s="128">
        <f t="shared" ca="1" si="4"/>
        <v>3.046702997294179</v>
      </c>
      <c r="K14" s="23">
        <v>3</v>
      </c>
      <c r="L14" s="79"/>
      <c r="M14" s="43" t="s">
        <v>37</v>
      </c>
      <c r="N14" s="104">
        <v>30411.883999999998</v>
      </c>
      <c r="O14" s="105">
        <f ca="1">INDIRECT("'" &amp; $S$2 &amp; "'!O" &amp; ROW()) + N14</f>
        <v>152349.47499999998</v>
      </c>
      <c r="P14" s="105">
        <v>69741.637000000002</v>
      </c>
      <c r="R14" s="79"/>
    </row>
    <row r="15" spans="1:19" ht="14.5" x14ac:dyDescent="0.3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49" t="s">
        <v>38</v>
      </c>
      <c r="N15" s="107">
        <v>26523.216</v>
      </c>
      <c r="O15" s="105">
        <f ca="1">INDIRECT("'" &amp; $S$2 &amp; "'!O" &amp; ROW()) + N15</f>
        <v>132294.80499999999</v>
      </c>
      <c r="P15" s="105">
        <v>118996.26300000001</v>
      </c>
      <c r="R15" s="79"/>
    </row>
    <row r="16" spans="1:19" ht="14.5" x14ac:dyDescent="0.35">
      <c r="A16" s="79"/>
      <c r="B16" s="82" t="s">
        <v>39</v>
      </c>
      <c r="C16" s="82"/>
      <c r="D16" s="82" t="s">
        <v>5</v>
      </c>
      <c r="E16" s="82"/>
      <c r="F16" s="136" t="s">
        <v>6</v>
      </c>
      <c r="G16" s="136"/>
      <c r="H16" s="136"/>
      <c r="I16" s="136" t="s">
        <v>40</v>
      </c>
      <c r="J16" s="136"/>
      <c r="K16" s="82"/>
      <c r="L16" s="108"/>
      <c r="M16" s="52" t="s">
        <v>41</v>
      </c>
      <c r="N16" s="109">
        <f>SUM(N14:N15)</f>
        <v>56935.1</v>
      </c>
      <c r="O16" s="109">
        <f ca="1">SUM(O14:O15)</f>
        <v>284644.27999999997</v>
      </c>
      <c r="P16" s="110">
        <f>P15+P14</f>
        <v>188737.90000000002</v>
      </c>
      <c r="Q16" s="108"/>
      <c r="R16" s="79"/>
    </row>
    <row r="17" spans="1:18" ht="14.5" x14ac:dyDescent="0.35">
      <c r="A17" s="79"/>
      <c r="B17" s="10"/>
      <c r="C17" s="10"/>
      <c r="D17" s="10" t="s">
        <v>12</v>
      </c>
      <c r="E17" s="10" t="s">
        <v>13</v>
      </c>
      <c r="F17" s="10" t="s">
        <v>14</v>
      </c>
      <c r="G17" s="10" t="s">
        <v>0</v>
      </c>
      <c r="H17" s="10" t="s">
        <v>13</v>
      </c>
      <c r="I17" s="10" t="s">
        <v>0</v>
      </c>
      <c r="J17" s="10" t="s">
        <v>13</v>
      </c>
      <c r="K17" s="10" t="s">
        <v>15</v>
      </c>
      <c r="L17" s="79"/>
      <c r="Q17" s="79"/>
      <c r="R17" s="79"/>
    </row>
    <row r="18" spans="1:18" ht="14.15" customHeight="1" x14ac:dyDescent="0.35">
      <c r="A18" s="79"/>
      <c r="B18" s="88" t="s">
        <v>42</v>
      </c>
      <c r="C18" s="89" t="s">
        <v>18</v>
      </c>
      <c r="D18" s="125">
        <v>275</v>
      </c>
      <c r="E18" s="86">
        <f t="shared" ref="E18:E27" ca="1" si="5">INDIRECT("'" &amp; $S$2 &amp; "'!E" &amp; ROW()) + D18</f>
        <v>1600</v>
      </c>
      <c r="F18" s="20">
        <v>21</v>
      </c>
      <c r="G18" s="126">
        <f t="shared" ref="G18:G27" si="6">D18*F18</f>
        <v>5775</v>
      </c>
      <c r="H18" s="126">
        <f t="shared" ref="H18:H27" ca="1" si="7">INDIRECT("'" &amp; $S$2 &amp; "'!H" &amp; ROW()) + G18</f>
        <v>33600</v>
      </c>
      <c r="I18" s="127">
        <f t="shared" ref="I18:I27" si="8">IF($N$10=0,0,D18/$N$16*1000)</f>
        <v>4.8300608938949789</v>
      </c>
      <c r="J18" s="127">
        <f t="shared" ref="J18:J27" ca="1" si="9">IF($O$10=0,0,E18/$O$16*1000)</f>
        <v>5.6210509482221118</v>
      </c>
      <c r="K18" s="55">
        <v>6.1</v>
      </c>
      <c r="L18" s="79"/>
      <c r="M18" s="56" t="s">
        <v>43</v>
      </c>
      <c r="N18" s="57" t="s">
        <v>0</v>
      </c>
      <c r="O18" s="57" t="s">
        <v>33</v>
      </c>
      <c r="Q18" s="79"/>
      <c r="R18" s="79"/>
    </row>
    <row r="19" spans="1:18" ht="14.15" customHeight="1" x14ac:dyDescent="0.35">
      <c r="A19" s="79"/>
      <c r="B19" s="74" t="s">
        <v>45</v>
      </c>
      <c r="C19" s="92" t="s">
        <v>18</v>
      </c>
      <c r="D19" s="125">
        <v>150</v>
      </c>
      <c r="E19" s="86">
        <f t="shared" ca="1" si="5"/>
        <v>1700</v>
      </c>
      <c r="F19" s="20">
        <v>15.63</v>
      </c>
      <c r="G19" s="126">
        <f t="shared" si="6"/>
        <v>2344.5</v>
      </c>
      <c r="H19" s="126">
        <f t="shared" ca="1" si="7"/>
        <v>26571</v>
      </c>
      <c r="I19" s="127">
        <f t="shared" si="8"/>
        <v>2.634578669397261</v>
      </c>
      <c r="J19" s="127">
        <f t="shared" ca="1" si="9"/>
        <v>5.9723666324859934</v>
      </c>
      <c r="K19" s="55">
        <v>9</v>
      </c>
      <c r="L19" s="79"/>
      <c r="M19" s="43" t="s">
        <v>46</v>
      </c>
      <c r="N19" s="58">
        <f>SUM(G6:G14)</f>
        <v>141110.3155</v>
      </c>
      <c r="O19" s="126">
        <f ca="1">INDIRECT("'" &amp; $S$2 &amp; "'!O" &amp; ROW()) + N19</f>
        <v>544603.03879999998</v>
      </c>
      <c r="Q19" s="79"/>
      <c r="R19" s="79"/>
    </row>
    <row r="20" spans="1:18" ht="14.15" customHeight="1" x14ac:dyDescent="0.35">
      <c r="A20" s="79"/>
      <c r="B20" s="74" t="s">
        <v>47</v>
      </c>
      <c r="C20" s="92" t="s">
        <v>18</v>
      </c>
      <c r="D20" s="125"/>
      <c r="E20" s="86">
        <f t="shared" ca="1" si="5"/>
        <v>1000</v>
      </c>
      <c r="F20" s="20">
        <v>6.7</v>
      </c>
      <c r="G20" s="126">
        <f t="shared" si="6"/>
        <v>0</v>
      </c>
      <c r="H20" s="126">
        <f t="shared" ca="1" si="7"/>
        <v>6700</v>
      </c>
      <c r="I20" s="127">
        <f t="shared" si="8"/>
        <v>0</v>
      </c>
      <c r="J20" s="127">
        <f t="shared" ca="1" si="9"/>
        <v>3.5131568426388196</v>
      </c>
      <c r="K20" s="55">
        <v>51</v>
      </c>
      <c r="L20" s="79"/>
      <c r="M20" s="43" t="s">
        <v>48</v>
      </c>
      <c r="N20" s="58">
        <f>SUM(G18:G27)+G51</f>
        <v>55207.099300000002</v>
      </c>
      <c r="O20" s="126">
        <f ca="1">INDIRECT("'" &amp; $S$2 &amp; "'!O" &amp; ROW()) + N20</f>
        <v>320906.36050000001</v>
      </c>
      <c r="Q20" s="79"/>
      <c r="R20" s="79"/>
    </row>
    <row r="21" spans="1:18" ht="14.15" customHeight="1" x14ac:dyDescent="0.35">
      <c r="A21" s="79"/>
      <c r="B21" s="74" t="s">
        <v>49</v>
      </c>
      <c r="C21" s="92" t="s">
        <v>18</v>
      </c>
      <c r="D21" s="125"/>
      <c r="E21" s="86">
        <f t="shared" ca="1" si="5"/>
        <v>0</v>
      </c>
      <c r="F21" s="20">
        <v>5.85</v>
      </c>
      <c r="G21" s="126">
        <f t="shared" si="6"/>
        <v>0</v>
      </c>
      <c r="H21" s="126">
        <f t="shared" ca="1" si="7"/>
        <v>0</v>
      </c>
      <c r="I21" s="127">
        <f t="shared" si="8"/>
        <v>0</v>
      </c>
      <c r="J21" s="127">
        <f t="shared" ca="1" si="9"/>
        <v>0</v>
      </c>
      <c r="K21" s="55"/>
      <c r="L21" s="79"/>
      <c r="M21" s="43" t="s">
        <v>50</v>
      </c>
      <c r="N21" s="58">
        <f>SUM(G30:G37)</f>
        <v>8134.8888000000006</v>
      </c>
      <c r="O21" s="126">
        <f ca="1">INDIRECT("'" &amp; $S$2 &amp; "'!O" &amp; ROW()) + N21</f>
        <v>37642.145100000002</v>
      </c>
      <c r="Q21" s="79"/>
      <c r="R21" s="79"/>
    </row>
    <row r="22" spans="1:18" ht="14.15" customHeight="1" x14ac:dyDescent="0.35">
      <c r="A22" s="79"/>
      <c r="B22" s="74" t="s">
        <v>51</v>
      </c>
      <c r="C22" s="92" t="s">
        <v>18</v>
      </c>
      <c r="D22" s="125">
        <v>23719.8</v>
      </c>
      <c r="E22" s="86">
        <f t="shared" ca="1" si="5"/>
        <v>136691.9</v>
      </c>
      <c r="F22" s="20">
        <v>1.03</v>
      </c>
      <c r="G22" s="126">
        <f t="shared" si="6"/>
        <v>24431.394</v>
      </c>
      <c r="H22" s="126">
        <f t="shared" ca="1" si="7"/>
        <v>140792.65700000001</v>
      </c>
      <c r="I22" s="127">
        <f t="shared" si="8"/>
        <v>416.6111941491277</v>
      </c>
      <c r="J22" s="127">
        <f t="shared" ca="1" si="9"/>
        <v>480.22008381830125</v>
      </c>
      <c r="K22" s="55">
        <v>1000</v>
      </c>
      <c r="L22" s="79"/>
      <c r="M22" s="49" t="s">
        <v>52</v>
      </c>
      <c r="N22" s="58">
        <f>SUM(G40:G53)-G51</f>
        <v>11898.862200000003</v>
      </c>
      <c r="O22" s="126">
        <f ca="1">INDIRECT("'" &amp; $S$2 &amp; "'!O" &amp; ROW()) + N22</f>
        <v>73950.116000000009</v>
      </c>
      <c r="Q22" s="79"/>
      <c r="R22" s="79"/>
    </row>
    <row r="23" spans="1:18" ht="14.15" customHeight="1" x14ac:dyDescent="0.35">
      <c r="A23" s="79"/>
      <c r="B23" s="74" t="s">
        <v>29</v>
      </c>
      <c r="C23" s="92" t="s">
        <v>18</v>
      </c>
      <c r="D23" s="125">
        <v>450</v>
      </c>
      <c r="E23" s="86">
        <f t="shared" ca="1" si="5"/>
        <v>2875</v>
      </c>
      <c r="F23" s="20">
        <v>5.83</v>
      </c>
      <c r="G23" s="126">
        <f t="shared" si="6"/>
        <v>2623.5</v>
      </c>
      <c r="H23" s="126">
        <f t="shared" ca="1" si="7"/>
        <v>16761.25</v>
      </c>
      <c r="I23" s="127">
        <f t="shared" si="8"/>
        <v>7.9037360081917836</v>
      </c>
      <c r="J23" s="127">
        <f t="shared" ca="1" si="9"/>
        <v>10.100325922586606</v>
      </c>
      <c r="K23" s="55">
        <v>13</v>
      </c>
      <c r="L23" s="79"/>
      <c r="M23" s="52" t="s">
        <v>53</v>
      </c>
      <c r="N23" s="112">
        <f>SUM(N19:N22)</f>
        <v>216351.16579999999</v>
      </c>
      <c r="O23" s="113">
        <f ca="1">SUM(O19:O22)</f>
        <v>977101.66039999994</v>
      </c>
      <c r="Q23" s="79"/>
      <c r="R23" s="79"/>
    </row>
    <row r="24" spans="1:18" ht="14.15" customHeight="1" x14ac:dyDescent="0.35">
      <c r="A24" s="79"/>
      <c r="B24" s="74" t="s">
        <v>54</v>
      </c>
      <c r="C24" s="92" t="s">
        <v>18</v>
      </c>
      <c r="D24" s="125">
        <v>838.88</v>
      </c>
      <c r="E24" s="86">
        <f t="shared" ca="1" si="5"/>
        <v>4688.87</v>
      </c>
      <c r="F24" s="20">
        <v>8</v>
      </c>
      <c r="G24" s="126">
        <f t="shared" si="6"/>
        <v>6711.04</v>
      </c>
      <c r="H24" s="126">
        <f t="shared" ca="1" si="7"/>
        <v>37510.959999999999</v>
      </c>
      <c r="I24" s="127">
        <f t="shared" si="8"/>
        <v>14.733969027893163</v>
      </c>
      <c r="J24" s="127">
        <f t="shared" ca="1" si="9"/>
        <v>16.472735724743881</v>
      </c>
      <c r="K24" s="55">
        <v>2.8</v>
      </c>
      <c r="L24" s="79"/>
      <c r="P24" s="79"/>
      <c r="Q24" s="79"/>
      <c r="R24" s="79"/>
    </row>
    <row r="25" spans="1:18" ht="14.15" customHeight="1" x14ac:dyDescent="0.35">
      <c r="A25" s="79"/>
      <c r="B25" s="74" t="s">
        <v>55</v>
      </c>
      <c r="C25" s="92" t="s">
        <v>18</v>
      </c>
      <c r="D25" s="125">
        <v>1695.3</v>
      </c>
      <c r="E25" s="86">
        <f t="shared" ca="1" si="5"/>
        <v>9110.58</v>
      </c>
      <c r="F25" s="20">
        <v>5.85</v>
      </c>
      <c r="G25" s="126">
        <f t="shared" si="6"/>
        <v>9917.5049999999992</v>
      </c>
      <c r="H25" s="126">
        <f t="shared" ca="1" si="7"/>
        <v>53296.892999999989</v>
      </c>
      <c r="I25" s="127">
        <f t="shared" si="8"/>
        <v>29.776008121527845</v>
      </c>
      <c r="J25" s="127">
        <f t="shared" ca="1" si="9"/>
        <v>32.006896467408374</v>
      </c>
      <c r="K25" s="55">
        <v>28</v>
      </c>
      <c r="L25" s="79"/>
      <c r="M25" s="56" t="s">
        <v>56</v>
      </c>
      <c r="N25" s="56" t="s">
        <v>9</v>
      </c>
      <c r="O25" s="56"/>
      <c r="P25" s="56" t="s">
        <v>10</v>
      </c>
      <c r="Q25" s="56"/>
      <c r="R25" s="79"/>
    </row>
    <row r="26" spans="1:18" ht="14.15" customHeight="1" x14ac:dyDescent="0.35">
      <c r="A26" s="79"/>
      <c r="B26" s="74" t="s">
        <v>58</v>
      </c>
      <c r="C26" s="103" t="s">
        <v>36</v>
      </c>
      <c r="D26" s="125"/>
      <c r="E26" s="86">
        <f t="shared" ca="1" si="5"/>
        <v>0</v>
      </c>
      <c r="F26" s="20">
        <v>6.98</v>
      </c>
      <c r="G26" s="126">
        <f t="shared" si="6"/>
        <v>0</v>
      </c>
      <c r="H26" s="126">
        <f t="shared" ca="1" si="7"/>
        <v>0</v>
      </c>
      <c r="I26" s="127">
        <f t="shared" si="8"/>
        <v>0</v>
      </c>
      <c r="J26" s="127">
        <f t="shared" ca="1" si="9"/>
        <v>0</v>
      </c>
      <c r="K26" s="55">
        <v>21.3</v>
      </c>
      <c r="L26" s="79"/>
      <c r="M26" s="43" t="s">
        <v>46</v>
      </c>
      <c r="N26" s="114">
        <f>IF($N$9=0,0,N19/$N$9*1000)</f>
        <v>54.049164482451005</v>
      </c>
      <c r="O26" s="44" t="s">
        <v>59</v>
      </c>
      <c r="P26" s="114">
        <f ca="1">IF($O$9=0,0,O19/$O$9*1000)</f>
        <v>47.406963161356522</v>
      </c>
      <c r="Q26" s="44" t="s">
        <v>59</v>
      </c>
      <c r="R26" s="79"/>
    </row>
    <row r="27" spans="1:18" ht="14.15" customHeight="1" x14ac:dyDescent="0.35">
      <c r="A27" s="79"/>
      <c r="B27" s="74" t="s">
        <v>86</v>
      </c>
      <c r="C27" s="103" t="s">
        <v>36</v>
      </c>
      <c r="D27" s="75"/>
      <c r="E27" s="86">
        <f t="shared" ca="1" si="5"/>
        <v>0</v>
      </c>
      <c r="F27" s="115"/>
      <c r="G27" s="126">
        <f t="shared" si="6"/>
        <v>0</v>
      </c>
      <c r="H27" s="126">
        <f t="shared" ca="1" si="7"/>
        <v>0</v>
      </c>
      <c r="I27" s="127">
        <f t="shared" si="8"/>
        <v>0</v>
      </c>
      <c r="J27" s="127">
        <f t="shared" ca="1" si="9"/>
        <v>0</v>
      </c>
      <c r="K27" s="55">
        <v>3.6</v>
      </c>
      <c r="L27" s="108"/>
      <c r="M27" s="43" t="s">
        <v>48</v>
      </c>
      <c r="N27" s="114">
        <f>IF($N$10=0,0,N20/$N$16)</f>
        <v>0.96964964143384313</v>
      </c>
      <c r="O27" s="44" t="s">
        <v>60</v>
      </c>
      <c r="P27" s="114">
        <f ca="1">IF($O$10=0,0,O20/$O$16)</f>
        <v>1.1273943762368948</v>
      </c>
      <c r="Q27" s="44" t="s">
        <v>60</v>
      </c>
    </row>
    <row r="28" spans="1:18" ht="14.5" x14ac:dyDescent="0.35">
      <c r="A28" s="79"/>
      <c r="B28" s="82" t="s">
        <v>62</v>
      </c>
      <c r="C28" s="82"/>
      <c r="D28" s="82" t="s">
        <v>5</v>
      </c>
      <c r="E28" s="82"/>
      <c r="F28" s="82" t="s">
        <v>6</v>
      </c>
      <c r="G28" s="82"/>
      <c r="H28" s="82"/>
      <c r="I28" s="82" t="s">
        <v>40</v>
      </c>
      <c r="J28" s="82"/>
      <c r="K28" s="82"/>
      <c r="L28" s="79"/>
      <c r="M28" s="43" t="s">
        <v>50</v>
      </c>
      <c r="N28" s="114">
        <f>IF($N$16=0,0,N21/$N$16)</f>
        <v>0.14288003006932457</v>
      </c>
      <c r="O28" s="44" t="s">
        <v>60</v>
      </c>
      <c r="P28" s="114">
        <f ca="1">IF($O$16=0,0,O21/$O$16)</f>
        <v>0.13224275962966833</v>
      </c>
      <c r="Q28" s="44" t="s">
        <v>60</v>
      </c>
    </row>
    <row r="29" spans="1:18" ht="14.5" x14ac:dyDescent="0.35">
      <c r="A29" s="79"/>
      <c r="B29" s="10"/>
      <c r="C29" s="10"/>
      <c r="D29" s="10" t="s">
        <v>12</v>
      </c>
      <c r="E29" s="10" t="s">
        <v>13</v>
      </c>
      <c r="F29" s="10" t="s">
        <v>14</v>
      </c>
      <c r="G29" s="10" t="s">
        <v>0</v>
      </c>
      <c r="H29" s="10" t="s">
        <v>13</v>
      </c>
      <c r="I29" s="10" t="s">
        <v>0</v>
      </c>
      <c r="J29" s="10" t="s">
        <v>13</v>
      </c>
      <c r="K29" s="10" t="s">
        <v>15</v>
      </c>
      <c r="L29" s="79"/>
      <c r="M29" s="49" t="s">
        <v>52</v>
      </c>
      <c r="N29" s="116">
        <f>IF($N$16=0,0,N22/$N$16)</f>
        <v>0.2089899236147825</v>
      </c>
      <c r="O29" s="117" t="s">
        <v>60</v>
      </c>
      <c r="P29" s="116">
        <f ca="1">IF($O$16=0,0,O22/$O$16)</f>
        <v>0.25979835603933449</v>
      </c>
      <c r="Q29" s="117" t="s">
        <v>60</v>
      </c>
    </row>
    <row r="30" spans="1:18" ht="14.15" customHeight="1" x14ac:dyDescent="0.35">
      <c r="A30" s="79"/>
      <c r="B30" s="88" t="s">
        <v>63</v>
      </c>
      <c r="C30" s="89" t="s">
        <v>18</v>
      </c>
      <c r="D30" s="125"/>
      <c r="E30" s="86">
        <f t="shared" ref="E30:E36" ca="1" si="10">INDIRECT("'" &amp; $S$2 &amp; "'!E" &amp; ROW()) + D30</f>
        <v>0</v>
      </c>
      <c r="F30" s="20">
        <v>1.03</v>
      </c>
      <c r="G30" s="126">
        <f t="shared" ref="G30:G36" si="11">D30*F30</f>
        <v>0</v>
      </c>
      <c r="H30" s="126">
        <f t="shared" ref="H30:H36" ca="1" si="12">INDIRECT("'" &amp; $S$2 &amp; "'!H" &amp; ROW()) + G30</f>
        <v>0</v>
      </c>
      <c r="I30" s="128">
        <f t="shared" ref="I30:I36" si="13">IF($N$16=0,0,D30/$N$16*1000)</f>
        <v>0</v>
      </c>
      <c r="J30" s="128">
        <f t="shared" ref="J30:J36" ca="1" si="14">IF($O$16=0,0,E30/$O$16*1000)</f>
        <v>0</v>
      </c>
      <c r="K30" s="23">
        <v>0</v>
      </c>
      <c r="L30" s="79"/>
      <c r="M30" s="52" t="s">
        <v>64</v>
      </c>
      <c r="N30" s="119">
        <f>IF($N$16=0,0,N23/$N$16)</f>
        <v>3.799961110106068</v>
      </c>
      <c r="O30" s="120" t="s">
        <v>60</v>
      </c>
      <c r="P30" s="119">
        <f ca="1">IF($O$16=0,0,O23/$O$16)</f>
        <v>3.4327113841880119</v>
      </c>
      <c r="Q30" s="121" t="s">
        <v>60</v>
      </c>
    </row>
    <row r="31" spans="1:18" ht="14.15" customHeight="1" x14ac:dyDescent="0.35">
      <c r="A31" s="79"/>
      <c r="B31" s="74" t="s">
        <v>29</v>
      </c>
      <c r="C31" s="92" t="s">
        <v>18</v>
      </c>
      <c r="D31" s="125">
        <v>100</v>
      </c>
      <c r="E31" s="86">
        <f t="shared" ca="1" si="10"/>
        <v>200</v>
      </c>
      <c r="F31" s="20">
        <v>5.83</v>
      </c>
      <c r="G31" s="126">
        <f t="shared" si="11"/>
        <v>583</v>
      </c>
      <c r="H31" s="126">
        <f t="shared" ca="1" si="12"/>
        <v>1166</v>
      </c>
      <c r="I31" s="128">
        <f t="shared" si="13"/>
        <v>1.7563857795981741</v>
      </c>
      <c r="J31" s="128">
        <f t="shared" ca="1" si="14"/>
        <v>0.70263136852776398</v>
      </c>
      <c r="K31" s="23">
        <v>1.5</v>
      </c>
      <c r="L31" s="79"/>
    </row>
    <row r="32" spans="1:18" ht="14.15" customHeight="1" x14ac:dyDescent="0.35">
      <c r="A32" s="79"/>
      <c r="B32" s="74" t="s">
        <v>65</v>
      </c>
      <c r="C32" s="92" t="s">
        <v>18</v>
      </c>
      <c r="D32" s="125">
        <v>694.12</v>
      </c>
      <c r="E32" s="86">
        <f t="shared" ca="1" si="10"/>
        <v>3376.49</v>
      </c>
      <c r="F32" s="20">
        <v>8.99</v>
      </c>
      <c r="G32" s="126">
        <f t="shared" si="11"/>
        <v>6240.1388000000006</v>
      </c>
      <c r="H32" s="126">
        <f t="shared" ca="1" si="12"/>
        <v>30354.645100000002</v>
      </c>
      <c r="I32" s="128">
        <f t="shared" si="13"/>
        <v>12.191424973346846</v>
      </c>
      <c r="J32" s="128">
        <f t="shared" ca="1" si="14"/>
        <v>11.862138947601547</v>
      </c>
      <c r="K32" s="23">
        <v>8</v>
      </c>
      <c r="L32" s="79"/>
    </row>
    <row r="33" spans="1:18" ht="14.15" customHeight="1" x14ac:dyDescent="0.35">
      <c r="A33" s="79"/>
      <c r="B33" s="102" t="s">
        <v>66</v>
      </c>
      <c r="C33" s="103" t="s">
        <v>18</v>
      </c>
      <c r="D33" s="125"/>
      <c r="E33" s="86">
        <f t="shared" ca="1" si="10"/>
        <v>0</v>
      </c>
      <c r="F33" s="20">
        <v>24</v>
      </c>
      <c r="G33" s="126">
        <f t="shared" si="11"/>
        <v>0</v>
      </c>
      <c r="H33" s="126">
        <f t="shared" ca="1" si="12"/>
        <v>0</v>
      </c>
      <c r="I33" s="128">
        <f t="shared" si="13"/>
        <v>0</v>
      </c>
      <c r="J33" s="128">
        <f t="shared" ca="1" si="14"/>
        <v>0</v>
      </c>
      <c r="K33" s="23">
        <v>0</v>
      </c>
      <c r="L33" s="79"/>
      <c r="M33" s="79"/>
      <c r="N33" s="79"/>
      <c r="O33" s="79"/>
      <c r="P33" s="79"/>
      <c r="Q33" s="79"/>
      <c r="R33" s="79"/>
    </row>
    <row r="34" spans="1:18" ht="14.15" customHeight="1" x14ac:dyDescent="0.35">
      <c r="A34" s="79"/>
      <c r="B34" s="102" t="s">
        <v>67</v>
      </c>
      <c r="C34" s="103" t="s">
        <v>36</v>
      </c>
      <c r="D34" s="75">
        <v>125</v>
      </c>
      <c r="E34" s="86">
        <f t="shared" ca="1" si="10"/>
        <v>625</v>
      </c>
      <c r="F34" s="20">
        <v>5.83</v>
      </c>
      <c r="G34" s="126">
        <f t="shared" si="11"/>
        <v>728.75</v>
      </c>
      <c r="H34" s="126">
        <f t="shared" ca="1" si="12"/>
        <v>3643.75</v>
      </c>
      <c r="I34" s="128">
        <f t="shared" si="13"/>
        <v>2.1954822244977175</v>
      </c>
      <c r="J34" s="128">
        <f t="shared" ca="1" si="14"/>
        <v>2.1957230266492624</v>
      </c>
      <c r="K34" s="23">
        <v>2</v>
      </c>
      <c r="L34" s="79"/>
      <c r="M34" s="79"/>
      <c r="N34" s="79"/>
      <c r="O34" s="79"/>
      <c r="P34" s="79"/>
      <c r="Q34" s="79"/>
      <c r="R34" s="79"/>
    </row>
    <row r="35" spans="1:18" ht="14.15" customHeight="1" x14ac:dyDescent="0.35">
      <c r="A35" s="79"/>
      <c r="B35" s="102" t="s">
        <v>68</v>
      </c>
      <c r="C35" s="103" t="s">
        <v>18</v>
      </c>
      <c r="D35" s="75">
        <v>100</v>
      </c>
      <c r="E35" s="86">
        <f t="shared" ca="1" si="10"/>
        <v>425</v>
      </c>
      <c r="F35" s="20">
        <v>5.83</v>
      </c>
      <c r="G35" s="126">
        <f t="shared" si="11"/>
        <v>583</v>
      </c>
      <c r="H35" s="126">
        <f t="shared" ca="1" si="12"/>
        <v>2477.75</v>
      </c>
      <c r="I35" s="128">
        <f t="shared" si="13"/>
        <v>1.7563857795981741</v>
      </c>
      <c r="J35" s="128">
        <f t="shared" ca="1" si="14"/>
        <v>1.4930916581214984</v>
      </c>
      <c r="K35" s="23">
        <v>1</v>
      </c>
      <c r="L35" s="79"/>
      <c r="M35" s="79"/>
      <c r="N35" s="79"/>
      <c r="O35" s="79"/>
      <c r="P35" s="79"/>
      <c r="Q35" s="79"/>
      <c r="R35" s="79"/>
    </row>
    <row r="36" spans="1:18" ht="14.15" customHeight="1" x14ac:dyDescent="0.35">
      <c r="A36" s="79"/>
      <c r="B36" s="102" t="s">
        <v>69</v>
      </c>
      <c r="C36" s="103" t="s">
        <v>18</v>
      </c>
      <c r="D36" s="75"/>
      <c r="E36" s="86">
        <f t="shared" ca="1" si="10"/>
        <v>0</v>
      </c>
      <c r="F36" s="20">
        <v>5.83</v>
      </c>
      <c r="G36" s="126">
        <f t="shared" si="11"/>
        <v>0</v>
      </c>
      <c r="H36" s="126">
        <f t="shared" ca="1" si="12"/>
        <v>0</v>
      </c>
      <c r="I36" s="128">
        <f t="shared" si="13"/>
        <v>0</v>
      </c>
      <c r="J36" s="128">
        <f t="shared" ca="1" si="14"/>
        <v>0</v>
      </c>
      <c r="K36" s="23">
        <v>1</v>
      </c>
      <c r="L36" s="79"/>
      <c r="M36" s="79"/>
      <c r="N36" s="79"/>
      <c r="O36" s="79"/>
      <c r="P36" s="79"/>
      <c r="Q36" s="79"/>
      <c r="R36" s="79"/>
    </row>
    <row r="37" spans="1:18" ht="8.25" customHeight="1" x14ac:dyDescent="0.3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R37" s="79"/>
    </row>
    <row r="38" spans="1:18" ht="14.5" x14ac:dyDescent="0.35">
      <c r="A38" s="79"/>
      <c r="B38" s="82" t="s">
        <v>70</v>
      </c>
      <c r="C38" s="82"/>
      <c r="D38" s="82" t="s">
        <v>5</v>
      </c>
      <c r="E38" s="82"/>
      <c r="F38" s="82" t="s">
        <v>71</v>
      </c>
      <c r="G38" s="82"/>
      <c r="H38" s="82"/>
      <c r="I38" s="82" t="s">
        <v>72</v>
      </c>
      <c r="J38" s="82"/>
      <c r="K38" s="82"/>
      <c r="L38" s="108"/>
      <c r="M38" s="108"/>
      <c r="N38" s="108"/>
      <c r="O38" s="108"/>
      <c r="P38" s="108"/>
      <c r="Q38" s="108"/>
      <c r="R38" s="79"/>
    </row>
    <row r="39" spans="1:18" ht="15.75" customHeight="1" x14ac:dyDescent="0.35">
      <c r="A39" s="79"/>
      <c r="B39" s="10"/>
      <c r="C39" s="10"/>
      <c r="D39" s="10" t="s">
        <v>12</v>
      </c>
      <c r="E39" s="10" t="s">
        <v>13</v>
      </c>
      <c r="F39" s="10" t="s">
        <v>14</v>
      </c>
      <c r="G39" s="10" t="s">
        <v>0</v>
      </c>
      <c r="H39" s="10" t="s">
        <v>13</v>
      </c>
      <c r="I39" s="10" t="s">
        <v>0</v>
      </c>
      <c r="J39" s="10" t="s">
        <v>13</v>
      </c>
      <c r="K39" s="10" t="s">
        <v>15</v>
      </c>
      <c r="L39" s="79"/>
      <c r="M39" s="79"/>
      <c r="N39" s="79"/>
      <c r="O39" s="79"/>
      <c r="P39" s="79"/>
      <c r="Q39" s="79"/>
      <c r="R39" s="79"/>
    </row>
    <row r="40" spans="1:18" ht="12.75" customHeight="1" x14ac:dyDescent="0.35">
      <c r="A40" s="79"/>
      <c r="B40" s="88" t="s">
        <v>29</v>
      </c>
      <c r="C40" s="89" t="s">
        <v>18</v>
      </c>
      <c r="D40" s="125">
        <v>250</v>
      </c>
      <c r="E40" s="86">
        <f t="shared" ref="E40:E53" ca="1" si="15">INDIRECT("'" &amp; $S$2 &amp; "'!E" &amp; ROW()) + D40</f>
        <v>1050</v>
      </c>
      <c r="F40" s="20">
        <v>5.83</v>
      </c>
      <c r="G40" s="126">
        <f t="shared" ref="G40:G53" si="16">D40*F40</f>
        <v>1457.5</v>
      </c>
      <c r="H40" s="126">
        <f t="shared" ref="H40:H53" ca="1" si="17">INDIRECT("'" &amp; $S$2 &amp; "'!H" &amp; ROW()) + G40</f>
        <v>6121.5</v>
      </c>
      <c r="I40" s="127">
        <f t="shared" ref="I40:I53" si="18">IF($N$16=0,0,D40/$N$16*1000)</f>
        <v>4.3909644489954349</v>
      </c>
      <c r="J40" s="127">
        <f t="shared" ref="J40:J53" ca="1" si="19">IF($O$16=0,0,E40/$O$16*1000)</f>
        <v>3.6888146847707604</v>
      </c>
      <c r="K40" s="55">
        <v>6</v>
      </c>
      <c r="L40" s="79"/>
      <c r="M40" s="79"/>
      <c r="N40" s="79"/>
      <c r="O40" s="79"/>
      <c r="P40" s="79"/>
      <c r="Q40" s="79"/>
      <c r="R40" s="79"/>
    </row>
    <row r="41" spans="1:18" ht="12.75" customHeight="1" x14ac:dyDescent="0.35">
      <c r="A41" s="79"/>
      <c r="B41" s="74" t="s">
        <v>73</v>
      </c>
      <c r="C41" s="92" t="s">
        <v>18</v>
      </c>
      <c r="D41" s="125">
        <v>150</v>
      </c>
      <c r="E41" s="86">
        <f t="shared" ca="1" si="15"/>
        <v>800</v>
      </c>
      <c r="F41" s="20">
        <v>37.840000000000003</v>
      </c>
      <c r="G41" s="126">
        <f t="shared" si="16"/>
        <v>5676.0000000000009</v>
      </c>
      <c r="H41" s="126">
        <f t="shared" ca="1" si="17"/>
        <v>30272.000000000004</v>
      </c>
      <c r="I41" s="127">
        <f t="shared" si="18"/>
        <v>2.634578669397261</v>
      </c>
      <c r="J41" s="127">
        <f t="shared" ca="1" si="19"/>
        <v>2.8105254741110559</v>
      </c>
      <c r="K41" s="55">
        <v>3</v>
      </c>
      <c r="L41" s="79"/>
      <c r="M41" s="79"/>
      <c r="N41" s="79"/>
      <c r="O41" s="79"/>
      <c r="P41" s="79"/>
      <c r="Q41" s="79"/>
      <c r="R41" s="79"/>
    </row>
    <row r="42" spans="1:18" ht="12.75" customHeight="1" x14ac:dyDescent="0.35">
      <c r="A42" s="79"/>
      <c r="B42" s="74" t="s">
        <v>74</v>
      </c>
      <c r="C42" s="92" t="s">
        <v>18</v>
      </c>
      <c r="D42" s="125"/>
      <c r="E42" s="86">
        <f t="shared" ca="1" si="15"/>
        <v>63.5</v>
      </c>
      <c r="F42" s="20">
        <v>21</v>
      </c>
      <c r="G42" s="126">
        <f t="shared" si="16"/>
        <v>0</v>
      </c>
      <c r="H42" s="126">
        <f t="shared" ca="1" si="17"/>
        <v>1333.5</v>
      </c>
      <c r="I42" s="127">
        <f t="shared" si="18"/>
        <v>0</v>
      </c>
      <c r="J42" s="127">
        <f t="shared" ca="1" si="19"/>
        <v>0.22308545950756503</v>
      </c>
      <c r="K42" s="55">
        <v>0.35</v>
      </c>
      <c r="L42" s="79"/>
      <c r="M42" s="129"/>
      <c r="N42" s="79"/>
      <c r="O42" s="79"/>
      <c r="P42" s="79"/>
      <c r="Q42" s="79"/>
      <c r="R42" s="79"/>
    </row>
    <row r="43" spans="1:18" ht="12.75" customHeight="1" x14ac:dyDescent="0.35">
      <c r="A43" s="79"/>
      <c r="B43" s="74" t="s">
        <v>75</v>
      </c>
      <c r="C43" s="92" t="s">
        <v>18</v>
      </c>
      <c r="D43" s="125">
        <v>172.5</v>
      </c>
      <c r="E43" s="86">
        <f t="shared" ca="1" si="15"/>
        <v>1815</v>
      </c>
      <c r="F43" s="20">
        <v>2.9</v>
      </c>
      <c r="G43" s="126">
        <f t="shared" si="16"/>
        <v>500.25</v>
      </c>
      <c r="H43" s="126">
        <f t="shared" ca="1" si="17"/>
        <v>5263.5</v>
      </c>
      <c r="I43" s="127">
        <f t="shared" si="18"/>
        <v>3.0297654698068501</v>
      </c>
      <c r="J43" s="127">
        <f t="shared" ca="1" si="19"/>
        <v>6.3763796693894577</v>
      </c>
      <c r="K43" s="55">
        <v>7</v>
      </c>
      <c r="L43" s="79"/>
      <c r="M43" s="129"/>
      <c r="N43" s="79"/>
      <c r="O43" s="79"/>
      <c r="P43" s="79"/>
      <c r="Q43" s="79"/>
      <c r="R43" s="79"/>
    </row>
    <row r="44" spans="1:18" ht="12.75" customHeight="1" x14ac:dyDescent="0.35">
      <c r="A44" s="79"/>
      <c r="B44" s="74" t="s">
        <v>76</v>
      </c>
      <c r="C44" s="92" t="s">
        <v>18</v>
      </c>
      <c r="D44" s="125">
        <v>15</v>
      </c>
      <c r="E44" s="86">
        <f t="shared" ca="1" si="15"/>
        <v>95</v>
      </c>
      <c r="F44" s="20">
        <v>24</v>
      </c>
      <c r="G44" s="126">
        <f t="shared" si="16"/>
        <v>360</v>
      </c>
      <c r="H44" s="126">
        <f t="shared" ca="1" si="17"/>
        <v>2280</v>
      </c>
      <c r="I44" s="127">
        <f t="shared" si="18"/>
        <v>0.26345786693972612</v>
      </c>
      <c r="J44" s="127">
        <f t="shared" ca="1" si="19"/>
        <v>0.33374990005068789</v>
      </c>
      <c r="K44" s="55">
        <v>0.3</v>
      </c>
      <c r="L44" s="79"/>
      <c r="M44" s="129"/>
      <c r="N44" s="79"/>
      <c r="O44" s="79"/>
      <c r="P44" s="79"/>
      <c r="Q44" s="79"/>
      <c r="R44" s="79"/>
    </row>
    <row r="45" spans="1:18" ht="12.75" customHeight="1" x14ac:dyDescent="0.35">
      <c r="A45" s="79"/>
      <c r="B45" s="74" t="s">
        <v>77</v>
      </c>
      <c r="C45" s="92" t="s">
        <v>18</v>
      </c>
      <c r="D45" s="125">
        <v>1005.7</v>
      </c>
      <c r="E45" s="86">
        <f t="shared" ca="1" si="15"/>
        <v>6939.33</v>
      </c>
      <c r="F45" s="20">
        <v>0.64</v>
      </c>
      <c r="G45" s="126">
        <f t="shared" si="16"/>
        <v>643.64800000000002</v>
      </c>
      <c r="H45" s="126">
        <f t="shared" ca="1" si="17"/>
        <v>4441.1711999999998</v>
      </c>
      <c r="I45" s="127">
        <f t="shared" si="18"/>
        <v>17.663971785418838</v>
      </c>
      <c r="J45" s="127">
        <f t="shared" ca="1" si="19"/>
        <v>24.37895467282884</v>
      </c>
      <c r="K45" s="55">
        <v>12</v>
      </c>
      <c r="L45" s="79"/>
      <c r="M45" s="129"/>
      <c r="N45" s="79"/>
      <c r="O45" s="79"/>
      <c r="P45" s="79"/>
      <c r="Q45" s="79"/>
      <c r="R45" s="79"/>
    </row>
    <row r="46" spans="1:18" ht="12.75" customHeight="1" x14ac:dyDescent="0.35">
      <c r="A46" s="79"/>
      <c r="B46" s="74" t="s">
        <v>78</v>
      </c>
      <c r="C46" s="92" t="s">
        <v>18</v>
      </c>
      <c r="D46" s="125">
        <v>15</v>
      </c>
      <c r="E46" s="86">
        <f t="shared" ca="1" si="15"/>
        <v>80</v>
      </c>
      <c r="F46" s="20">
        <v>24</v>
      </c>
      <c r="G46" s="126">
        <f t="shared" si="16"/>
        <v>360</v>
      </c>
      <c r="H46" s="126">
        <f t="shared" ca="1" si="17"/>
        <v>1920</v>
      </c>
      <c r="I46" s="127">
        <f t="shared" si="18"/>
        <v>0.26345786693972612</v>
      </c>
      <c r="J46" s="127">
        <f t="shared" ca="1" si="19"/>
        <v>0.28105254741110552</v>
      </c>
      <c r="K46" s="55">
        <v>0.4</v>
      </c>
      <c r="L46" s="79"/>
      <c r="M46" s="129"/>
      <c r="N46" s="79"/>
      <c r="O46" s="79"/>
      <c r="P46" s="79"/>
      <c r="Q46" s="79"/>
      <c r="R46" s="79"/>
    </row>
    <row r="47" spans="1:18" ht="12.75" customHeight="1" x14ac:dyDescent="0.35">
      <c r="A47" s="79"/>
      <c r="B47" s="74" t="s">
        <v>79</v>
      </c>
      <c r="C47" s="92" t="s">
        <v>18</v>
      </c>
      <c r="D47" s="125"/>
      <c r="E47" s="86">
        <f t="shared" ca="1" si="15"/>
        <v>0</v>
      </c>
      <c r="F47" s="20">
        <v>41.96</v>
      </c>
      <c r="G47" s="126">
        <f t="shared" si="16"/>
        <v>0</v>
      </c>
      <c r="H47" s="126">
        <f t="shared" ca="1" si="17"/>
        <v>0</v>
      </c>
      <c r="I47" s="127">
        <f t="shared" si="18"/>
        <v>0</v>
      </c>
      <c r="J47" s="127">
        <f t="shared" ca="1" si="19"/>
        <v>0</v>
      </c>
      <c r="K47" s="55">
        <v>0.2</v>
      </c>
      <c r="L47" s="79"/>
      <c r="M47" s="129"/>
      <c r="N47" s="79"/>
      <c r="O47" s="79"/>
      <c r="P47" s="79"/>
      <c r="Q47" s="79"/>
      <c r="R47" s="79"/>
    </row>
    <row r="48" spans="1:18" ht="12.75" customHeight="1" x14ac:dyDescent="0.35">
      <c r="B48" s="74" t="s">
        <v>80</v>
      </c>
      <c r="C48" s="92" t="s">
        <v>18</v>
      </c>
      <c r="D48" s="125">
        <v>88.89</v>
      </c>
      <c r="E48" s="86">
        <f t="shared" ca="1" si="15"/>
        <v>643.87</v>
      </c>
      <c r="F48" s="20">
        <v>23.51</v>
      </c>
      <c r="G48" s="126">
        <f t="shared" si="16"/>
        <v>2089.8039000000003</v>
      </c>
      <c r="H48" s="126">
        <f t="shared" ca="1" si="17"/>
        <v>15137.3837</v>
      </c>
      <c r="I48" s="127">
        <f t="shared" si="18"/>
        <v>1.561251319484817</v>
      </c>
      <c r="J48" s="127">
        <f t="shared" ca="1" si="19"/>
        <v>2.2620162962698567</v>
      </c>
      <c r="K48" s="55">
        <v>2</v>
      </c>
      <c r="M48" s="129"/>
    </row>
    <row r="49" spans="2:13" ht="12.75" customHeight="1" x14ac:dyDescent="0.35">
      <c r="B49" s="74" t="s">
        <v>81</v>
      </c>
      <c r="C49" s="92" t="s">
        <v>18</v>
      </c>
      <c r="D49" s="125"/>
      <c r="E49" s="86">
        <f t="shared" ca="1" si="15"/>
        <v>0</v>
      </c>
      <c r="F49" s="20">
        <v>41.96</v>
      </c>
      <c r="G49" s="126">
        <f t="shared" si="16"/>
        <v>0</v>
      </c>
      <c r="H49" s="126">
        <f t="shared" ca="1" si="17"/>
        <v>0</v>
      </c>
      <c r="I49" s="127">
        <f t="shared" si="18"/>
        <v>0</v>
      </c>
      <c r="J49" s="127">
        <f t="shared" ca="1" si="19"/>
        <v>0</v>
      </c>
      <c r="K49" s="55">
        <v>0.5</v>
      </c>
      <c r="M49" s="129"/>
    </row>
    <row r="50" spans="2:13" ht="12.75" customHeight="1" x14ac:dyDescent="0.35">
      <c r="B50" s="74" t="s">
        <v>82</v>
      </c>
      <c r="C50" s="130" t="s">
        <v>18</v>
      </c>
      <c r="D50" s="125">
        <v>13.95</v>
      </c>
      <c r="E50" s="86">
        <f t="shared" ca="1" si="15"/>
        <v>78.61</v>
      </c>
      <c r="F50" s="20">
        <v>43.43</v>
      </c>
      <c r="G50" s="126">
        <f t="shared" si="16"/>
        <v>605.84849999999994</v>
      </c>
      <c r="H50" s="126">
        <f t="shared" ca="1" si="17"/>
        <v>3414.0322999999999</v>
      </c>
      <c r="I50" s="127">
        <f t="shared" si="18"/>
        <v>0.24501581625394525</v>
      </c>
      <c r="J50" s="126">
        <f t="shared" ca="1" si="19"/>
        <v>0.27616925939983761</v>
      </c>
      <c r="K50" s="55">
        <v>0.05</v>
      </c>
    </row>
    <row r="51" spans="2:13" ht="12.75" customHeight="1" x14ac:dyDescent="0.35">
      <c r="B51" s="74" t="s">
        <v>63</v>
      </c>
      <c r="C51" s="89" t="s">
        <v>18</v>
      </c>
      <c r="D51" s="75">
        <v>3305.01</v>
      </c>
      <c r="E51" s="86">
        <f t="shared" ca="1" si="15"/>
        <v>7711.7900000000009</v>
      </c>
      <c r="F51" s="76">
        <v>1.03</v>
      </c>
      <c r="G51" s="126">
        <f t="shared" si="16"/>
        <v>3404.1603000000005</v>
      </c>
      <c r="H51" s="126">
        <f t="shared" ca="1" si="17"/>
        <v>7943.1437000000005</v>
      </c>
      <c r="I51" s="127">
        <f t="shared" si="18"/>
        <v>58.04872565429762</v>
      </c>
      <c r="J51" s="126">
        <f t="shared" ca="1" si="19"/>
        <v>27.092727807493624</v>
      </c>
      <c r="K51" s="55">
        <v>0</v>
      </c>
    </row>
    <row r="52" spans="2:13" ht="12.75" customHeight="1" x14ac:dyDescent="0.35">
      <c r="B52" s="74" t="s">
        <v>83</v>
      </c>
      <c r="C52" s="28" t="s">
        <v>36</v>
      </c>
      <c r="D52" s="75"/>
      <c r="E52" s="86">
        <f t="shared" ca="1" si="15"/>
        <v>0</v>
      </c>
      <c r="F52" s="76">
        <v>26.1</v>
      </c>
      <c r="G52" s="20">
        <f t="shared" si="16"/>
        <v>0</v>
      </c>
      <c r="H52" s="126">
        <f t="shared" ca="1" si="17"/>
        <v>0</v>
      </c>
      <c r="I52" s="127">
        <f t="shared" si="18"/>
        <v>0</v>
      </c>
      <c r="J52" s="126">
        <f t="shared" ca="1" si="19"/>
        <v>0</v>
      </c>
      <c r="K52" s="23">
        <v>2.5</v>
      </c>
    </row>
    <row r="53" spans="2:13" ht="12.75" customHeight="1" x14ac:dyDescent="0.35">
      <c r="B53" s="74" t="s">
        <v>91</v>
      </c>
      <c r="C53" s="28" t="s">
        <v>36</v>
      </c>
      <c r="D53" s="75">
        <v>7.79</v>
      </c>
      <c r="E53" s="86">
        <f t="shared" ca="1" si="15"/>
        <v>56.68</v>
      </c>
      <c r="F53" s="76">
        <v>26.42</v>
      </c>
      <c r="G53" s="20">
        <f t="shared" si="16"/>
        <v>205.81180000000001</v>
      </c>
      <c r="H53" s="126">
        <f t="shared" ca="1" si="17"/>
        <v>1497.4856</v>
      </c>
      <c r="I53" s="127">
        <f t="shared" si="18"/>
        <v>0.13682245223069775</v>
      </c>
      <c r="J53" s="126">
        <f t="shared" ca="1" si="19"/>
        <v>0.19912572984076829</v>
      </c>
      <c r="K53" s="23">
        <v>0.3</v>
      </c>
    </row>
  </sheetData>
  <mergeCells count="7">
    <mergeCell ref="F16:H16"/>
    <mergeCell ref="I16:J16"/>
    <mergeCell ref="E2:P2"/>
    <mergeCell ref="C3:G3"/>
    <mergeCell ref="D4:E4"/>
    <mergeCell ref="F4:H4"/>
    <mergeCell ref="I4:J4"/>
  </mergeCells>
  <printOptions horizontalCentered="1" verticalCentered="1"/>
  <pageMargins left="0" right="0" top="0" bottom="0" header="0.511811023622047" footer="0.511811023622047"/>
  <pageSetup paperSize="9" scale="8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53"/>
  <sheetViews>
    <sheetView showGridLines="0" topLeftCell="A19" zoomScale="90" zoomScaleNormal="90" workbookViewId="0">
      <selection activeCell="N9" sqref="N9"/>
    </sheetView>
  </sheetViews>
  <sheetFormatPr defaultColWidth="9.1796875" defaultRowHeight="15" customHeight="1" x14ac:dyDescent="0.35"/>
  <cols>
    <col min="1" max="1" width="1.81640625" style="78" customWidth="1"/>
    <col min="2" max="2" width="21.54296875" style="78" customWidth="1"/>
    <col min="3" max="3" width="3.54296875" style="78" customWidth="1"/>
    <col min="4" max="4" width="10.453125" style="78" customWidth="1"/>
    <col min="5" max="5" width="7.7265625" style="78" customWidth="1"/>
    <col min="6" max="6" width="12" style="78" customWidth="1"/>
    <col min="7" max="7" width="9.453125" style="78" customWidth="1"/>
    <col min="8" max="8" width="9.81640625" style="78" customWidth="1"/>
    <col min="9" max="9" width="9.26953125" style="78" customWidth="1"/>
    <col min="10" max="10" width="7.54296875" style="78" customWidth="1"/>
    <col min="11" max="11" width="6.54296875" style="78" customWidth="1"/>
    <col min="12" max="12" width="5.453125" style="78" customWidth="1"/>
    <col min="13" max="13" width="22.7265625" style="78" customWidth="1"/>
    <col min="14" max="14" width="13.453125" style="78" customWidth="1"/>
    <col min="15" max="15" width="13.81640625" style="78" customWidth="1"/>
    <col min="16" max="16" width="13.54296875" style="78" customWidth="1"/>
    <col min="17" max="17" width="10.26953125" style="78" customWidth="1"/>
    <col min="18" max="1024" width="9.08984375" style="78"/>
  </cols>
  <sheetData>
    <row r="1" spans="1:19" ht="7.5" customHeight="1" x14ac:dyDescent="0.35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9" ht="20.25" customHeight="1" x14ac:dyDescent="0.35">
      <c r="A2" s="79"/>
      <c r="B2" s="80" t="s">
        <v>0</v>
      </c>
      <c r="C2" s="79"/>
      <c r="D2" s="79"/>
      <c r="E2" s="137" t="s">
        <v>1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79"/>
      <c r="R2" s="79"/>
      <c r="S2" s="78" t="s">
        <v>96</v>
      </c>
    </row>
    <row r="3" spans="1:19" ht="10.5" customHeight="1" x14ac:dyDescent="0.35">
      <c r="A3" s="79"/>
      <c r="B3" s="81">
        <v>6</v>
      </c>
      <c r="C3" s="138" t="s">
        <v>97</v>
      </c>
      <c r="D3" s="138"/>
      <c r="E3" s="138"/>
      <c r="F3" s="138"/>
      <c r="G3" s="13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 spans="1:19" ht="14.5" x14ac:dyDescent="0.35">
      <c r="A4" s="79"/>
      <c r="B4" s="82" t="s">
        <v>3</v>
      </c>
      <c r="C4" s="82"/>
      <c r="D4" s="136" t="s">
        <v>5</v>
      </c>
      <c r="E4" s="136"/>
      <c r="F4" s="136" t="s">
        <v>6</v>
      </c>
      <c r="G4" s="136"/>
      <c r="H4" s="136"/>
      <c r="I4" s="136" t="s">
        <v>7</v>
      </c>
      <c r="J4" s="136"/>
      <c r="K4" s="82"/>
      <c r="L4" s="82"/>
      <c r="M4" s="82" t="s">
        <v>8</v>
      </c>
      <c r="N4" s="83" t="s">
        <v>9</v>
      </c>
      <c r="O4" s="83" t="s">
        <v>10</v>
      </c>
      <c r="P4" s="83" t="s">
        <v>11</v>
      </c>
      <c r="Q4" s="84"/>
      <c r="R4" s="79"/>
    </row>
    <row r="5" spans="1:19" ht="14.5" x14ac:dyDescent="0.35">
      <c r="A5" s="79"/>
      <c r="B5" s="10"/>
      <c r="C5" s="10"/>
      <c r="D5" s="10" t="s">
        <v>12</v>
      </c>
      <c r="E5" s="10" t="s">
        <v>13</v>
      </c>
      <c r="F5" s="10" t="s">
        <v>14</v>
      </c>
      <c r="G5" s="10" t="s">
        <v>0</v>
      </c>
      <c r="H5" s="10" t="s">
        <v>13</v>
      </c>
      <c r="I5" s="10" t="s">
        <v>0</v>
      </c>
      <c r="J5" s="10" t="s">
        <v>13</v>
      </c>
      <c r="K5" s="10" t="s">
        <v>15</v>
      </c>
      <c r="L5" s="79"/>
      <c r="M5" s="43" t="s">
        <v>16</v>
      </c>
      <c r="N5" s="85">
        <v>77204</v>
      </c>
      <c r="O5" s="86">
        <f ca="1">INDIRECT("'" &amp; $S$2 &amp; "'!O" &amp; ROW()) + N5</f>
        <v>391909</v>
      </c>
      <c r="P5" s="85">
        <v>334420</v>
      </c>
      <c r="Q5" s="87"/>
      <c r="R5" s="79"/>
    </row>
    <row r="6" spans="1:19" ht="14.15" customHeight="1" x14ac:dyDescent="0.35">
      <c r="A6" s="79"/>
      <c r="B6" s="88" t="s">
        <v>17</v>
      </c>
      <c r="C6" s="89" t="s">
        <v>18</v>
      </c>
      <c r="D6" s="125">
        <v>8767</v>
      </c>
      <c r="E6" s="86">
        <f t="shared" ref="E6:E14" ca="1" si="0">INDIRECT("'" &amp; $S$2 &amp; "'!E" &amp; ROW()) + D6</f>
        <v>64332.35</v>
      </c>
      <c r="F6" s="20">
        <v>8.6</v>
      </c>
      <c r="G6" s="126">
        <f t="shared" ref="G6:G14" si="1">F6*D6</f>
        <v>75396.2</v>
      </c>
      <c r="H6" s="126">
        <f t="shared" ref="H6:H14" ca="1" si="2">INDIRECT("'" &amp; $S$2 &amp; "'!H" &amp; ROW()) + G6</f>
        <v>272527.8616</v>
      </c>
      <c r="I6" s="127">
        <f>IF($N$9=0,0,D6/$N$9*1000)</f>
        <v>3.6663967855147424</v>
      </c>
      <c r="J6" s="127">
        <f ca="1">IF($O$9=0,0,E6/$O$9*1000)</f>
        <v>4.6352281474953099</v>
      </c>
      <c r="K6" s="23">
        <v>9.8000000000000007</v>
      </c>
      <c r="L6" s="79"/>
      <c r="M6" s="43" t="s">
        <v>19</v>
      </c>
      <c r="N6" s="85"/>
      <c r="O6" s="86">
        <f>'semana 1'!O6+N6</f>
        <v>0</v>
      </c>
      <c r="P6" s="85"/>
      <c r="R6" s="79"/>
    </row>
    <row r="7" spans="1:19" ht="14.15" customHeight="1" x14ac:dyDescent="0.35">
      <c r="A7" s="79"/>
      <c r="B7" s="74" t="s">
        <v>20</v>
      </c>
      <c r="C7" s="92" t="s">
        <v>18</v>
      </c>
      <c r="D7" s="125">
        <v>30</v>
      </c>
      <c r="E7" s="86">
        <f t="shared" ca="1" si="0"/>
        <v>100</v>
      </c>
      <c r="F7" s="20">
        <v>599</v>
      </c>
      <c r="G7" s="126">
        <f t="shared" si="1"/>
        <v>17970</v>
      </c>
      <c r="H7" s="126">
        <f t="shared" ca="1" si="2"/>
        <v>59900</v>
      </c>
      <c r="I7" s="128">
        <f t="shared" ref="I7:I14" si="3">IF($N$9=0,0,D7/$N$9*1000)*1000</f>
        <v>12.546127930357279</v>
      </c>
      <c r="J7" s="128">
        <f t="shared" ref="J7:J14" ca="1" si="4">IF($O$9=0,0,E7/$O$9*1000)*1000</f>
        <v>7.2051279760420845</v>
      </c>
      <c r="K7" s="23">
        <v>6.8</v>
      </c>
      <c r="L7" s="79"/>
      <c r="M7" s="43" t="s">
        <v>21</v>
      </c>
      <c r="N7" s="85"/>
      <c r="O7" s="86">
        <f>'semana 1'!O7+N7</f>
        <v>0</v>
      </c>
      <c r="P7" s="85"/>
      <c r="Q7" s="87"/>
      <c r="R7" s="79"/>
    </row>
    <row r="8" spans="1:19" ht="14.15" customHeight="1" x14ac:dyDescent="0.35">
      <c r="A8" s="79"/>
      <c r="B8" s="74" t="s">
        <v>22</v>
      </c>
      <c r="C8" s="92" t="s">
        <v>18</v>
      </c>
      <c r="D8" s="125">
        <v>955</v>
      </c>
      <c r="E8" s="86">
        <f t="shared" ca="1" si="0"/>
        <v>9775</v>
      </c>
      <c r="F8" s="20">
        <v>15</v>
      </c>
      <c r="G8" s="126">
        <f t="shared" si="1"/>
        <v>14325</v>
      </c>
      <c r="H8" s="126">
        <f t="shared" ca="1" si="2"/>
        <v>139967.4</v>
      </c>
      <c r="I8" s="128">
        <f t="shared" si="3"/>
        <v>399.3850724497068</v>
      </c>
      <c r="J8" s="128">
        <f t="shared" ca="1" si="4"/>
        <v>704.30125965811374</v>
      </c>
      <c r="K8" s="23">
        <v>400</v>
      </c>
      <c r="L8" s="79"/>
      <c r="M8" s="49" t="s">
        <v>23</v>
      </c>
      <c r="N8" s="94">
        <v>2391176</v>
      </c>
      <c r="O8" s="86">
        <f ca="1">INDIRECT("'" &amp; $S$2 &amp; "'!O" &amp; ROW()) + N8</f>
        <v>13879004</v>
      </c>
      <c r="P8" s="94">
        <v>5400069</v>
      </c>
      <c r="Q8" s="87"/>
      <c r="R8" s="79"/>
    </row>
    <row r="9" spans="1:19" ht="14.15" customHeight="1" x14ac:dyDescent="0.35">
      <c r="A9" s="79"/>
      <c r="B9" s="74" t="s">
        <v>24</v>
      </c>
      <c r="C9" s="92" t="s">
        <v>18</v>
      </c>
      <c r="D9" s="125">
        <v>858.83</v>
      </c>
      <c r="E9" s="86">
        <f t="shared" ca="1" si="0"/>
        <v>5299.05</v>
      </c>
      <c r="F9" s="20">
        <v>25.15</v>
      </c>
      <c r="G9" s="126">
        <f t="shared" si="1"/>
        <v>21599.574499999999</v>
      </c>
      <c r="H9" s="126">
        <f t="shared" ca="1" si="2"/>
        <v>133271.10749999998</v>
      </c>
      <c r="I9" s="128">
        <f t="shared" si="3"/>
        <v>359.16636834762477</v>
      </c>
      <c r="J9" s="128">
        <f t="shared" ca="1" si="4"/>
        <v>381.80333401445813</v>
      </c>
      <c r="K9" s="23">
        <v>200</v>
      </c>
      <c r="L9" s="79"/>
      <c r="M9" s="34" t="s">
        <v>25</v>
      </c>
      <c r="N9" s="95">
        <f>SUM(N7:N8)</f>
        <v>2391176</v>
      </c>
      <c r="O9" s="95">
        <f ca="1">SUM(O7:O8)</f>
        <v>13879004</v>
      </c>
      <c r="P9" s="96"/>
      <c r="Q9" s="97"/>
      <c r="R9" s="79"/>
    </row>
    <row r="10" spans="1:19" ht="14.15" customHeight="1" x14ac:dyDescent="0.35">
      <c r="A10" s="79"/>
      <c r="B10" s="74" t="s">
        <v>26</v>
      </c>
      <c r="C10" s="92" t="s">
        <v>18</v>
      </c>
      <c r="D10" s="125">
        <v>50</v>
      </c>
      <c r="E10" s="86">
        <f t="shared" ca="1" si="0"/>
        <v>150</v>
      </c>
      <c r="F10" s="20">
        <v>10.98</v>
      </c>
      <c r="G10" s="126">
        <f t="shared" si="1"/>
        <v>549</v>
      </c>
      <c r="H10" s="126">
        <f t="shared" ca="1" si="2"/>
        <v>1647</v>
      </c>
      <c r="I10" s="128">
        <f t="shared" si="3"/>
        <v>20.910213217262132</v>
      </c>
      <c r="J10" s="128">
        <f t="shared" ca="1" si="4"/>
        <v>10.807691964063128</v>
      </c>
      <c r="K10" s="23">
        <v>10</v>
      </c>
      <c r="L10" s="79"/>
      <c r="M10" s="38" t="s">
        <v>27</v>
      </c>
      <c r="N10" s="98">
        <f>SUM(N5:N6)</f>
        <v>77204</v>
      </c>
      <c r="O10" s="98">
        <f ca="1">SUM(O5:O6)</f>
        <v>391909</v>
      </c>
      <c r="P10" s="99"/>
      <c r="Q10" s="100"/>
      <c r="R10" s="79"/>
    </row>
    <row r="11" spans="1:19" ht="14.15" customHeight="1" x14ac:dyDescent="0.35">
      <c r="A11" s="79"/>
      <c r="B11" s="74" t="s">
        <v>28</v>
      </c>
      <c r="C11" s="92" t="s">
        <v>18</v>
      </c>
      <c r="D11" s="125"/>
      <c r="E11" s="86">
        <f t="shared" ca="1" si="0"/>
        <v>2653.34</v>
      </c>
      <c r="F11" s="20">
        <v>4.13</v>
      </c>
      <c r="G11" s="126">
        <f t="shared" si="1"/>
        <v>0</v>
      </c>
      <c r="H11" s="126">
        <f t="shared" ca="1" si="2"/>
        <v>10958.2942</v>
      </c>
      <c r="I11" s="128">
        <f t="shared" si="3"/>
        <v>0</v>
      </c>
      <c r="J11" s="128">
        <f t="shared" ca="1" si="4"/>
        <v>191.17654263951505</v>
      </c>
      <c r="K11" s="23"/>
      <c r="L11" s="79"/>
      <c r="R11" s="79"/>
    </row>
    <row r="12" spans="1:19" ht="14.15" customHeight="1" x14ac:dyDescent="0.35">
      <c r="A12" s="79"/>
      <c r="B12" s="74" t="s">
        <v>29</v>
      </c>
      <c r="C12" s="92" t="s">
        <v>18</v>
      </c>
      <c r="D12" s="125">
        <v>575</v>
      </c>
      <c r="E12" s="86">
        <f t="shared" ca="1" si="0"/>
        <v>4500</v>
      </c>
      <c r="F12" s="20">
        <v>5.83</v>
      </c>
      <c r="G12" s="126">
        <f t="shared" si="1"/>
        <v>3352.25</v>
      </c>
      <c r="H12" s="126">
        <f t="shared" ca="1" si="2"/>
        <v>26235</v>
      </c>
      <c r="I12" s="128">
        <f t="shared" si="3"/>
        <v>240.46745199851452</v>
      </c>
      <c r="J12" s="128">
        <f t="shared" ca="1" si="4"/>
        <v>324.23075892189377</v>
      </c>
      <c r="K12" s="23">
        <v>400</v>
      </c>
      <c r="L12" s="79"/>
      <c r="M12" s="56" t="s">
        <v>30</v>
      </c>
      <c r="N12" s="101"/>
      <c r="O12" s="101"/>
      <c r="P12" s="101"/>
      <c r="R12" s="79"/>
    </row>
    <row r="13" spans="1:19" ht="14.15" customHeight="1" x14ac:dyDescent="0.35">
      <c r="A13" s="79"/>
      <c r="B13" s="74" t="s">
        <v>31</v>
      </c>
      <c r="C13" s="92" t="s">
        <v>18</v>
      </c>
      <c r="D13" s="125">
        <v>1057.24</v>
      </c>
      <c r="E13" s="86">
        <f t="shared" ca="1" si="0"/>
        <v>4126.1399999999994</v>
      </c>
      <c r="F13" s="20">
        <v>6</v>
      </c>
      <c r="G13" s="126">
        <f t="shared" si="1"/>
        <v>6343.4400000000005</v>
      </c>
      <c r="H13" s="126">
        <f t="shared" ca="1" si="2"/>
        <v>24756.839999999997</v>
      </c>
      <c r="I13" s="128">
        <f t="shared" si="3"/>
        <v>442.1422764363644</v>
      </c>
      <c r="J13" s="128">
        <f t="shared" ca="1" si="4"/>
        <v>297.29366747066285</v>
      </c>
      <c r="K13" s="23">
        <v>500</v>
      </c>
      <c r="L13" s="79"/>
      <c r="M13" s="43" t="s">
        <v>32</v>
      </c>
      <c r="N13" s="44" t="s">
        <v>0</v>
      </c>
      <c r="O13" s="44" t="s">
        <v>33</v>
      </c>
      <c r="P13" s="44" t="s">
        <v>34</v>
      </c>
      <c r="R13" s="79"/>
    </row>
    <row r="14" spans="1:19" ht="14.15" customHeight="1" x14ac:dyDescent="0.35">
      <c r="A14" s="79"/>
      <c r="B14" s="102" t="s">
        <v>35</v>
      </c>
      <c r="C14" s="103" t="s">
        <v>18</v>
      </c>
      <c r="D14" s="125"/>
      <c r="E14" s="86">
        <f t="shared" ca="1" si="0"/>
        <v>35</v>
      </c>
      <c r="F14" s="20">
        <v>425</v>
      </c>
      <c r="G14" s="126">
        <f t="shared" si="1"/>
        <v>0</v>
      </c>
      <c r="H14" s="126">
        <f t="shared" ca="1" si="2"/>
        <v>14875</v>
      </c>
      <c r="I14" s="128">
        <f t="shared" si="3"/>
        <v>0</v>
      </c>
      <c r="J14" s="128">
        <f t="shared" ca="1" si="4"/>
        <v>2.5217947916147296</v>
      </c>
      <c r="K14" s="23">
        <v>3</v>
      </c>
      <c r="L14" s="79"/>
      <c r="M14" s="43" t="s">
        <v>37</v>
      </c>
      <c r="N14" s="104">
        <v>33249.99</v>
      </c>
      <c r="O14" s="105">
        <f ca="1">INDIRECT("'" &amp; $S$2 &amp; "'!O" &amp; ROW()) + N14</f>
        <v>185599.46499999997</v>
      </c>
      <c r="P14" s="105">
        <v>85049.835000000006</v>
      </c>
      <c r="R14" s="79"/>
    </row>
    <row r="15" spans="1:19" ht="14.5" x14ac:dyDescent="0.3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49" t="s">
        <v>38</v>
      </c>
      <c r="N15" s="107">
        <v>32063.99</v>
      </c>
      <c r="O15" s="105">
        <f ca="1">INDIRECT("'" &amp; $S$2 &amp; "'!O" &amp; ROW()) + N15</f>
        <v>164358.79499999998</v>
      </c>
      <c r="P15" s="105">
        <v>154756.08499999999</v>
      </c>
      <c r="R15" s="79"/>
    </row>
    <row r="16" spans="1:19" ht="14.5" x14ac:dyDescent="0.35">
      <c r="A16" s="79"/>
      <c r="B16" s="82" t="s">
        <v>39</v>
      </c>
      <c r="C16" s="82"/>
      <c r="D16" s="82" t="s">
        <v>5</v>
      </c>
      <c r="E16" s="82"/>
      <c r="F16" s="136" t="s">
        <v>6</v>
      </c>
      <c r="G16" s="136"/>
      <c r="H16" s="136"/>
      <c r="I16" s="136" t="s">
        <v>40</v>
      </c>
      <c r="J16" s="136"/>
      <c r="K16" s="82"/>
      <c r="L16" s="108"/>
      <c r="M16" s="52" t="s">
        <v>41</v>
      </c>
      <c r="N16" s="109">
        <f>SUM(N14:N15)</f>
        <v>65313.979999999996</v>
      </c>
      <c r="O16" s="109">
        <f ca="1">SUM(O14:O15)</f>
        <v>349958.25999999995</v>
      </c>
      <c r="P16" s="110">
        <f>P15+P14</f>
        <v>239805.91999999998</v>
      </c>
      <c r="Q16" s="108"/>
      <c r="R16" s="79"/>
    </row>
    <row r="17" spans="1:18" ht="14.5" x14ac:dyDescent="0.35">
      <c r="A17" s="79"/>
      <c r="B17" s="10"/>
      <c r="C17" s="10"/>
      <c r="D17" s="10" t="s">
        <v>12</v>
      </c>
      <c r="E17" s="10" t="s">
        <v>13</v>
      </c>
      <c r="F17" s="10" t="s">
        <v>14</v>
      </c>
      <c r="G17" s="10" t="s">
        <v>0</v>
      </c>
      <c r="H17" s="10" t="s">
        <v>13</v>
      </c>
      <c r="I17" s="10" t="s">
        <v>0</v>
      </c>
      <c r="J17" s="10" t="s">
        <v>13</v>
      </c>
      <c r="K17" s="10" t="s">
        <v>15</v>
      </c>
      <c r="L17" s="79"/>
      <c r="Q17" s="79"/>
      <c r="R17" s="79"/>
    </row>
    <row r="18" spans="1:18" ht="14.15" customHeight="1" x14ac:dyDescent="0.35">
      <c r="A18" s="79"/>
      <c r="B18" s="88" t="s">
        <v>42</v>
      </c>
      <c r="C18" s="89" t="s">
        <v>18</v>
      </c>
      <c r="D18" s="125">
        <v>275</v>
      </c>
      <c r="E18" s="86">
        <f t="shared" ref="E18:E27" ca="1" si="5">INDIRECT("'" &amp; $S$2 &amp; "'!E" &amp; ROW()) + D18</f>
        <v>1875</v>
      </c>
      <c r="F18" s="20">
        <v>21</v>
      </c>
      <c r="G18" s="126">
        <f t="shared" ref="G18:G27" si="6">D18*F18</f>
        <v>5775</v>
      </c>
      <c r="H18" s="126">
        <f t="shared" ref="H18:H27" ca="1" si="7">INDIRECT("'" &amp; $S$2 &amp; "'!H" &amp; ROW()) + G18</f>
        <v>39375</v>
      </c>
      <c r="I18" s="127">
        <f t="shared" ref="I18:I27" si="8">IF($N$10=0,0,D18/$N$16*1000)</f>
        <v>4.2104309062164029</v>
      </c>
      <c r="J18" s="127">
        <f t="shared" ref="J18:J27" ca="1" si="9">IF($O$10=0,0,E18/$O$16*1000)</f>
        <v>5.3577818108936768</v>
      </c>
      <c r="K18" s="55">
        <v>6.1</v>
      </c>
      <c r="L18" s="79"/>
      <c r="M18" s="56" t="s">
        <v>43</v>
      </c>
      <c r="N18" s="57" t="s">
        <v>0</v>
      </c>
      <c r="O18" s="57" t="s">
        <v>33</v>
      </c>
      <c r="Q18" s="79"/>
      <c r="R18" s="79"/>
    </row>
    <row r="19" spans="1:18" ht="14.15" customHeight="1" x14ac:dyDescent="0.35">
      <c r="A19" s="79"/>
      <c r="B19" s="74" t="s">
        <v>45</v>
      </c>
      <c r="C19" s="92" t="s">
        <v>18</v>
      </c>
      <c r="D19" s="125">
        <v>175</v>
      </c>
      <c r="E19" s="86">
        <f t="shared" ca="1" si="5"/>
        <v>1875</v>
      </c>
      <c r="F19" s="20">
        <v>15.63</v>
      </c>
      <c r="G19" s="126">
        <f t="shared" si="6"/>
        <v>2735.25</v>
      </c>
      <c r="H19" s="126">
        <f t="shared" ca="1" si="7"/>
        <v>29306.25</v>
      </c>
      <c r="I19" s="127">
        <f t="shared" si="8"/>
        <v>2.6793651221377108</v>
      </c>
      <c r="J19" s="127">
        <f t="shared" ca="1" si="9"/>
        <v>5.3577818108936768</v>
      </c>
      <c r="K19" s="55">
        <v>9</v>
      </c>
      <c r="L19" s="79"/>
      <c r="M19" s="43" t="s">
        <v>46</v>
      </c>
      <c r="N19" s="58">
        <f>SUM(G6:G14)</f>
        <v>139535.4645</v>
      </c>
      <c r="O19" s="126">
        <f ca="1">INDIRECT("'" &amp; $S$2 &amp; "'!O" &amp; ROW()) + N19</f>
        <v>684138.50329999998</v>
      </c>
      <c r="Q19" s="79"/>
      <c r="R19" s="79"/>
    </row>
    <row r="20" spans="1:18" ht="14.15" customHeight="1" x14ac:dyDescent="0.35">
      <c r="A20" s="79"/>
      <c r="B20" s="74" t="s">
        <v>47</v>
      </c>
      <c r="C20" s="92" t="s">
        <v>18</v>
      </c>
      <c r="D20" s="125"/>
      <c r="E20" s="86">
        <f t="shared" ca="1" si="5"/>
        <v>1000</v>
      </c>
      <c r="F20" s="20">
        <v>6.7</v>
      </c>
      <c r="G20" s="126">
        <f t="shared" si="6"/>
        <v>0</v>
      </c>
      <c r="H20" s="126">
        <f t="shared" ca="1" si="7"/>
        <v>6700</v>
      </c>
      <c r="I20" s="127">
        <f t="shared" si="8"/>
        <v>0</v>
      </c>
      <c r="J20" s="127">
        <f t="shared" ca="1" si="9"/>
        <v>2.8574836324766277</v>
      </c>
      <c r="K20" s="55">
        <v>51</v>
      </c>
      <c r="L20" s="79"/>
      <c r="M20" s="43" t="s">
        <v>48</v>
      </c>
      <c r="N20" s="58">
        <f>SUM(G18:G27)+G51</f>
        <v>55937.087699999989</v>
      </c>
      <c r="O20" s="126">
        <f ca="1">INDIRECT("'" &amp; $S$2 &amp; "'!O" &amp; ROW()) + N20</f>
        <v>376843.44819999998</v>
      </c>
      <c r="Q20" s="79"/>
      <c r="R20" s="79"/>
    </row>
    <row r="21" spans="1:18" ht="14.15" customHeight="1" x14ac:dyDescent="0.35">
      <c r="A21" s="79"/>
      <c r="B21" s="74" t="s">
        <v>49</v>
      </c>
      <c r="C21" s="92" t="s">
        <v>18</v>
      </c>
      <c r="D21" s="125"/>
      <c r="E21" s="86">
        <f t="shared" ca="1" si="5"/>
        <v>0</v>
      </c>
      <c r="F21" s="20">
        <v>5.85</v>
      </c>
      <c r="G21" s="126">
        <f t="shared" si="6"/>
        <v>0</v>
      </c>
      <c r="H21" s="126">
        <f t="shared" ca="1" si="7"/>
        <v>0</v>
      </c>
      <c r="I21" s="127">
        <f t="shared" si="8"/>
        <v>0</v>
      </c>
      <c r="J21" s="127">
        <f t="shared" ca="1" si="9"/>
        <v>0</v>
      </c>
      <c r="K21" s="55"/>
      <c r="L21" s="79"/>
      <c r="M21" s="43" t="s">
        <v>50</v>
      </c>
      <c r="N21" s="58">
        <f>SUM(G30:G37)</f>
        <v>10268.663399999999</v>
      </c>
      <c r="O21" s="126">
        <f ca="1">INDIRECT("'" &amp; $S$2 &amp; "'!O" &amp; ROW()) + N21</f>
        <v>47910.808499999999</v>
      </c>
      <c r="Q21" s="79"/>
      <c r="R21" s="79"/>
    </row>
    <row r="22" spans="1:18" ht="14.15" customHeight="1" x14ac:dyDescent="0.35">
      <c r="A22" s="79"/>
      <c r="B22" s="74" t="s">
        <v>51</v>
      </c>
      <c r="C22" s="92" t="s">
        <v>18</v>
      </c>
      <c r="D22" s="125">
        <v>23916</v>
      </c>
      <c r="E22" s="86">
        <f t="shared" ca="1" si="5"/>
        <v>160607.9</v>
      </c>
      <c r="F22" s="20">
        <v>1.03</v>
      </c>
      <c r="G22" s="126">
        <f t="shared" si="6"/>
        <v>24633.48</v>
      </c>
      <c r="H22" s="126">
        <f t="shared" ca="1" si="7"/>
        <v>165426.13700000002</v>
      </c>
      <c r="I22" s="127">
        <f t="shared" si="8"/>
        <v>366.16969292025999</v>
      </c>
      <c r="J22" s="127">
        <f t="shared" ca="1" si="9"/>
        <v>458.93444549644295</v>
      </c>
      <c r="K22" s="55">
        <v>1000</v>
      </c>
      <c r="L22" s="79"/>
      <c r="M22" s="49" t="s">
        <v>52</v>
      </c>
      <c r="N22" s="58">
        <f>SUM(G40:G53)-G51</f>
        <v>12599.864300000001</v>
      </c>
      <c r="O22" s="126">
        <f ca="1">INDIRECT("'" &amp; $S$2 &amp; "'!O" &amp; ROW()) + N22</f>
        <v>86549.98030000001</v>
      </c>
      <c r="Q22" s="79"/>
      <c r="R22" s="79"/>
    </row>
    <row r="23" spans="1:18" ht="14.15" customHeight="1" x14ac:dyDescent="0.35">
      <c r="A23" s="79"/>
      <c r="B23" s="74" t="s">
        <v>29</v>
      </c>
      <c r="C23" s="92" t="s">
        <v>18</v>
      </c>
      <c r="D23" s="125">
        <v>475</v>
      </c>
      <c r="E23" s="86">
        <f t="shared" ca="1" si="5"/>
        <v>3350</v>
      </c>
      <c r="F23" s="20">
        <v>5.83</v>
      </c>
      <c r="G23" s="126">
        <f t="shared" si="6"/>
        <v>2769.25</v>
      </c>
      <c r="H23" s="126">
        <f t="shared" ca="1" si="7"/>
        <v>19530.5</v>
      </c>
      <c r="I23" s="127">
        <f t="shared" si="8"/>
        <v>7.2725624743737862</v>
      </c>
      <c r="J23" s="127">
        <f t="shared" ca="1" si="9"/>
        <v>9.5725701687967035</v>
      </c>
      <c r="K23" s="55">
        <v>13</v>
      </c>
      <c r="L23" s="79"/>
      <c r="M23" s="52" t="s">
        <v>53</v>
      </c>
      <c r="N23" s="112">
        <f>SUM(N19:N22)</f>
        <v>218341.07989999995</v>
      </c>
      <c r="O23" s="113">
        <f ca="1">SUM(O19:O22)</f>
        <v>1195442.7402999999</v>
      </c>
      <c r="Q23" s="79"/>
      <c r="R23" s="79"/>
    </row>
    <row r="24" spans="1:18" ht="14.15" customHeight="1" x14ac:dyDescent="0.35">
      <c r="A24" s="79"/>
      <c r="B24" s="74" t="s">
        <v>54</v>
      </c>
      <c r="C24" s="92" t="s">
        <v>18</v>
      </c>
      <c r="D24" s="125">
        <v>1149.99</v>
      </c>
      <c r="E24" s="86">
        <f t="shared" ca="1" si="5"/>
        <v>5838.86</v>
      </c>
      <c r="F24" s="20">
        <v>8</v>
      </c>
      <c r="G24" s="126">
        <f t="shared" si="6"/>
        <v>9199.92</v>
      </c>
      <c r="H24" s="126">
        <f t="shared" ca="1" si="7"/>
        <v>46710.879999999997</v>
      </c>
      <c r="I24" s="127">
        <f t="shared" si="8"/>
        <v>17.607103410326548</v>
      </c>
      <c r="J24" s="127">
        <f t="shared" ca="1" si="9"/>
        <v>16.684446882322479</v>
      </c>
      <c r="K24" s="55">
        <v>2.8</v>
      </c>
      <c r="L24" s="79"/>
      <c r="P24" s="79"/>
      <c r="Q24" s="79"/>
      <c r="R24" s="79"/>
    </row>
    <row r="25" spans="1:18" ht="14.15" customHeight="1" x14ac:dyDescent="0.35">
      <c r="A25" s="79"/>
      <c r="B25" s="74" t="s">
        <v>55</v>
      </c>
      <c r="C25" s="92" t="s">
        <v>18</v>
      </c>
      <c r="D25" s="125">
        <v>1462.35</v>
      </c>
      <c r="E25" s="86">
        <f t="shared" ca="1" si="5"/>
        <v>10572.93</v>
      </c>
      <c r="F25" s="20">
        <v>5.85</v>
      </c>
      <c r="G25" s="126">
        <f t="shared" si="6"/>
        <v>8554.7474999999995</v>
      </c>
      <c r="H25" s="126">
        <f t="shared" ca="1" si="7"/>
        <v>61851.640499999987</v>
      </c>
      <c r="I25" s="127">
        <f t="shared" si="8"/>
        <v>22.389540493474751</v>
      </c>
      <c r="J25" s="127">
        <f t="shared" ca="1" si="9"/>
        <v>30.211974422321113</v>
      </c>
      <c r="K25" s="55">
        <v>28</v>
      </c>
      <c r="L25" s="79"/>
      <c r="M25" s="56" t="s">
        <v>56</v>
      </c>
      <c r="N25" s="56" t="s">
        <v>9</v>
      </c>
      <c r="O25" s="56"/>
      <c r="P25" s="56" t="s">
        <v>10</v>
      </c>
      <c r="Q25" s="56"/>
      <c r="R25" s="79"/>
    </row>
    <row r="26" spans="1:18" ht="14.15" customHeight="1" x14ac:dyDescent="0.35">
      <c r="A26" s="79"/>
      <c r="B26" s="74" t="s">
        <v>58</v>
      </c>
      <c r="C26" s="103" t="s">
        <v>36</v>
      </c>
      <c r="D26" s="125"/>
      <c r="E26" s="86">
        <f t="shared" ca="1" si="5"/>
        <v>0</v>
      </c>
      <c r="F26" s="20">
        <v>6.98</v>
      </c>
      <c r="G26" s="126">
        <f t="shared" si="6"/>
        <v>0</v>
      </c>
      <c r="H26" s="126">
        <f t="shared" ca="1" si="7"/>
        <v>0</v>
      </c>
      <c r="I26" s="127">
        <f t="shared" si="8"/>
        <v>0</v>
      </c>
      <c r="J26" s="127">
        <f t="shared" ca="1" si="9"/>
        <v>0</v>
      </c>
      <c r="K26" s="55">
        <v>21.3</v>
      </c>
      <c r="L26" s="79"/>
      <c r="M26" s="43" t="s">
        <v>46</v>
      </c>
      <c r="N26" s="114">
        <f>IF($N$9=0,0,N19/$N$9*1000)</f>
        <v>58.354326281294227</v>
      </c>
      <c r="O26" s="44" t="s">
        <v>59</v>
      </c>
      <c r="P26" s="114">
        <f ca="1">IF($O$9=0,0,O19/$O$9*1000)</f>
        <v>49.293054696143905</v>
      </c>
      <c r="Q26" s="44" t="s">
        <v>59</v>
      </c>
      <c r="R26" s="79"/>
    </row>
    <row r="27" spans="1:18" ht="14.15" customHeight="1" x14ac:dyDescent="0.35">
      <c r="A27" s="79"/>
      <c r="B27" s="74" t="s">
        <v>86</v>
      </c>
      <c r="C27" s="103" t="s">
        <v>36</v>
      </c>
      <c r="D27" s="75"/>
      <c r="E27" s="86">
        <f t="shared" ca="1" si="5"/>
        <v>0</v>
      </c>
      <c r="F27" s="115"/>
      <c r="G27" s="126">
        <f t="shared" si="6"/>
        <v>0</v>
      </c>
      <c r="H27" s="126">
        <f t="shared" ca="1" si="7"/>
        <v>0</v>
      </c>
      <c r="I27" s="127">
        <f t="shared" si="8"/>
        <v>0</v>
      </c>
      <c r="J27" s="127">
        <f t="shared" ca="1" si="9"/>
        <v>0</v>
      </c>
      <c r="K27" s="55">
        <v>3.6</v>
      </c>
      <c r="L27" s="108"/>
      <c r="M27" s="43" t="s">
        <v>48</v>
      </c>
      <c r="N27" s="114">
        <f>IF($N$10=0,0,N20/$N$16)</f>
        <v>0.85643361038479038</v>
      </c>
      <c r="O27" s="44" t="s">
        <v>60</v>
      </c>
      <c r="P27" s="114">
        <f ca="1">IF($O$10=0,0,O20/$O$16)</f>
        <v>1.0768239852375538</v>
      </c>
      <c r="Q27" s="44" t="s">
        <v>60</v>
      </c>
    </row>
    <row r="28" spans="1:18" ht="14.5" x14ac:dyDescent="0.35">
      <c r="A28" s="79"/>
      <c r="B28" s="82" t="s">
        <v>62</v>
      </c>
      <c r="C28" s="82"/>
      <c r="D28" s="82" t="s">
        <v>5</v>
      </c>
      <c r="E28" s="82"/>
      <c r="F28" s="82" t="s">
        <v>6</v>
      </c>
      <c r="G28" s="82"/>
      <c r="H28" s="82"/>
      <c r="I28" s="82" t="s">
        <v>40</v>
      </c>
      <c r="J28" s="82"/>
      <c r="K28" s="82"/>
      <c r="L28" s="79"/>
      <c r="M28" s="43" t="s">
        <v>50</v>
      </c>
      <c r="N28" s="114">
        <f>IF($N$16=0,0,N21/$N$16)</f>
        <v>0.15721999179961166</v>
      </c>
      <c r="O28" s="44" t="s">
        <v>60</v>
      </c>
      <c r="P28" s="114">
        <f ca="1">IF($O$16=0,0,O21/$O$16)</f>
        <v>0.13690435110747209</v>
      </c>
      <c r="Q28" s="44" t="s">
        <v>60</v>
      </c>
    </row>
    <row r="29" spans="1:18" ht="14.5" x14ac:dyDescent="0.35">
      <c r="A29" s="79"/>
      <c r="B29" s="10"/>
      <c r="C29" s="10"/>
      <c r="D29" s="10" t="s">
        <v>12</v>
      </c>
      <c r="E29" s="10" t="s">
        <v>13</v>
      </c>
      <c r="F29" s="10" t="s">
        <v>14</v>
      </c>
      <c r="G29" s="10" t="s">
        <v>0</v>
      </c>
      <c r="H29" s="10" t="s">
        <v>13</v>
      </c>
      <c r="I29" s="10" t="s">
        <v>0</v>
      </c>
      <c r="J29" s="10" t="s">
        <v>13</v>
      </c>
      <c r="K29" s="10" t="s">
        <v>15</v>
      </c>
      <c r="L29" s="79"/>
      <c r="M29" s="49" t="s">
        <v>52</v>
      </c>
      <c r="N29" s="116">
        <f>IF($N$16=0,0,N22/$N$16)</f>
        <v>0.1929122111376462</v>
      </c>
      <c r="O29" s="117" t="s">
        <v>60</v>
      </c>
      <c r="P29" s="116">
        <f ca="1">IF($O$16=0,0,O22/$O$16)</f>
        <v>0.24731515209842461</v>
      </c>
      <c r="Q29" s="117" t="s">
        <v>60</v>
      </c>
    </row>
    <row r="30" spans="1:18" ht="14.15" customHeight="1" x14ac:dyDescent="0.35">
      <c r="A30" s="79"/>
      <c r="B30" s="88" t="s">
        <v>63</v>
      </c>
      <c r="C30" s="89" t="s">
        <v>18</v>
      </c>
      <c r="D30" s="125">
        <v>3305</v>
      </c>
      <c r="E30" s="86">
        <f t="shared" ref="E30:E36" ca="1" si="10">INDIRECT("'" &amp; $S$2 &amp; "'!E" &amp; ROW()) + D30</f>
        <v>3305</v>
      </c>
      <c r="F30" s="20">
        <v>1.03</v>
      </c>
      <c r="G30" s="126">
        <f t="shared" ref="G30:G36" si="11">D30*F30</f>
        <v>3404.15</v>
      </c>
      <c r="H30" s="126">
        <f t="shared" ref="H30:H36" ca="1" si="12">INDIRECT("'" &amp; $S$2 &amp; "'!H" &amp; ROW()) + G30</f>
        <v>3404.15</v>
      </c>
      <c r="I30" s="128">
        <f t="shared" ref="I30:I36" si="13">IF($N$16=0,0,D30/$N$16*1000)</f>
        <v>50.601724163800775</v>
      </c>
      <c r="J30" s="128">
        <f t="shared" ref="J30:J36" ca="1" si="14">IF($O$16=0,0,E30/$O$16*1000)</f>
        <v>9.4439834053352545</v>
      </c>
      <c r="K30" s="23">
        <v>0</v>
      </c>
      <c r="L30" s="79"/>
      <c r="M30" s="52" t="s">
        <v>64</v>
      </c>
      <c r="N30" s="119">
        <f>IF($N$16=0,0,N23/$N$16)</f>
        <v>3.3429455669368178</v>
      </c>
      <c r="O30" s="120" t="s">
        <v>60</v>
      </c>
      <c r="P30" s="119">
        <f ca="1">IF($O$16=0,0,O23/$O$16)</f>
        <v>3.4159580639702578</v>
      </c>
      <c r="Q30" s="121" t="s">
        <v>60</v>
      </c>
    </row>
    <row r="31" spans="1:18" ht="14.15" customHeight="1" x14ac:dyDescent="0.35">
      <c r="A31" s="79"/>
      <c r="B31" s="74" t="s">
        <v>29</v>
      </c>
      <c r="C31" s="92" t="s">
        <v>18</v>
      </c>
      <c r="D31" s="125">
        <v>25</v>
      </c>
      <c r="E31" s="86">
        <f t="shared" ca="1" si="10"/>
        <v>225</v>
      </c>
      <c r="F31" s="20">
        <v>5.83</v>
      </c>
      <c r="G31" s="126">
        <f t="shared" si="11"/>
        <v>145.75</v>
      </c>
      <c r="H31" s="126">
        <f t="shared" ca="1" si="12"/>
        <v>1311.75</v>
      </c>
      <c r="I31" s="128">
        <f t="shared" si="13"/>
        <v>0.38276644601967302</v>
      </c>
      <c r="J31" s="128">
        <f t="shared" ca="1" si="14"/>
        <v>0.6429338173072412</v>
      </c>
      <c r="K31" s="23">
        <v>1.5</v>
      </c>
      <c r="L31" s="79"/>
    </row>
    <row r="32" spans="1:18" ht="14.15" customHeight="1" x14ac:dyDescent="0.35">
      <c r="A32" s="79"/>
      <c r="B32" s="74" t="s">
        <v>65</v>
      </c>
      <c r="C32" s="92" t="s">
        <v>18</v>
      </c>
      <c r="D32" s="125">
        <v>617.66</v>
      </c>
      <c r="E32" s="86">
        <f t="shared" ca="1" si="10"/>
        <v>3994.1499999999996</v>
      </c>
      <c r="F32" s="20">
        <v>8.99</v>
      </c>
      <c r="G32" s="126">
        <f t="shared" si="11"/>
        <v>5552.7633999999998</v>
      </c>
      <c r="H32" s="126">
        <f t="shared" ca="1" si="12"/>
        <v>35907.408500000005</v>
      </c>
      <c r="I32" s="128">
        <f t="shared" si="13"/>
        <v>9.4567809219404495</v>
      </c>
      <c r="J32" s="128">
        <f t="shared" ca="1" si="14"/>
        <v>11.41321825065652</v>
      </c>
      <c r="K32" s="23">
        <v>8</v>
      </c>
      <c r="L32" s="79"/>
    </row>
    <row r="33" spans="1:18" ht="14.15" customHeight="1" x14ac:dyDescent="0.35">
      <c r="A33" s="79"/>
      <c r="B33" s="102" t="s">
        <v>66</v>
      </c>
      <c r="C33" s="103" t="s">
        <v>18</v>
      </c>
      <c r="D33" s="125"/>
      <c r="E33" s="86">
        <f t="shared" ca="1" si="10"/>
        <v>0</v>
      </c>
      <c r="F33" s="20">
        <v>24</v>
      </c>
      <c r="G33" s="126">
        <f t="shared" si="11"/>
        <v>0</v>
      </c>
      <c r="H33" s="126">
        <f t="shared" ca="1" si="12"/>
        <v>0</v>
      </c>
      <c r="I33" s="128">
        <f t="shared" si="13"/>
        <v>0</v>
      </c>
      <c r="J33" s="128">
        <f t="shared" ca="1" si="14"/>
        <v>0</v>
      </c>
      <c r="K33" s="23">
        <v>0</v>
      </c>
      <c r="L33" s="79"/>
      <c r="M33" s="79"/>
      <c r="N33" s="79"/>
      <c r="O33" s="79"/>
      <c r="P33" s="79"/>
      <c r="Q33" s="79"/>
      <c r="R33" s="79"/>
    </row>
    <row r="34" spans="1:18" ht="14.15" customHeight="1" x14ac:dyDescent="0.35">
      <c r="A34" s="79"/>
      <c r="B34" s="102" t="s">
        <v>67</v>
      </c>
      <c r="C34" s="103" t="s">
        <v>36</v>
      </c>
      <c r="D34" s="75">
        <v>75</v>
      </c>
      <c r="E34" s="86">
        <f t="shared" ca="1" si="10"/>
        <v>700</v>
      </c>
      <c r="F34" s="20">
        <v>5.83</v>
      </c>
      <c r="G34" s="126">
        <f t="shared" si="11"/>
        <v>437.25</v>
      </c>
      <c r="H34" s="126">
        <f t="shared" ca="1" si="12"/>
        <v>4081</v>
      </c>
      <c r="I34" s="128">
        <f t="shared" si="13"/>
        <v>1.148299338059019</v>
      </c>
      <c r="J34" s="128">
        <f t="shared" ca="1" si="14"/>
        <v>2.0002385427336393</v>
      </c>
      <c r="K34" s="23">
        <v>2</v>
      </c>
      <c r="L34" s="79"/>
      <c r="M34" s="79"/>
      <c r="N34" s="79"/>
      <c r="O34" s="79"/>
      <c r="P34" s="79"/>
      <c r="Q34" s="79"/>
      <c r="R34" s="79"/>
    </row>
    <row r="35" spans="1:18" ht="14.15" customHeight="1" x14ac:dyDescent="0.35">
      <c r="A35" s="79"/>
      <c r="B35" s="102" t="s">
        <v>68</v>
      </c>
      <c r="C35" s="103" t="s">
        <v>18</v>
      </c>
      <c r="D35" s="75">
        <v>100</v>
      </c>
      <c r="E35" s="86">
        <f t="shared" ca="1" si="10"/>
        <v>525</v>
      </c>
      <c r="F35" s="20">
        <v>5.83</v>
      </c>
      <c r="G35" s="126">
        <f t="shared" si="11"/>
        <v>583</v>
      </c>
      <c r="H35" s="126">
        <f t="shared" ca="1" si="12"/>
        <v>3060.75</v>
      </c>
      <c r="I35" s="128">
        <f t="shared" si="13"/>
        <v>1.5310657840786921</v>
      </c>
      <c r="J35" s="128">
        <f t="shared" ca="1" si="14"/>
        <v>1.5001789070502296</v>
      </c>
      <c r="K35" s="23">
        <v>1</v>
      </c>
      <c r="L35" s="79"/>
      <c r="M35" s="79"/>
      <c r="N35" s="79"/>
      <c r="O35" s="79"/>
      <c r="P35" s="79"/>
      <c r="Q35" s="79"/>
      <c r="R35" s="79"/>
    </row>
    <row r="36" spans="1:18" ht="14.15" customHeight="1" x14ac:dyDescent="0.35">
      <c r="A36" s="79"/>
      <c r="B36" s="102" t="s">
        <v>69</v>
      </c>
      <c r="C36" s="103" t="s">
        <v>18</v>
      </c>
      <c r="D36" s="75">
        <v>25</v>
      </c>
      <c r="E36" s="86">
        <f t="shared" ca="1" si="10"/>
        <v>25</v>
      </c>
      <c r="F36" s="20">
        <v>5.83</v>
      </c>
      <c r="G36" s="126">
        <f t="shared" si="11"/>
        <v>145.75</v>
      </c>
      <c r="H36" s="126">
        <f t="shared" ca="1" si="12"/>
        <v>145.75</v>
      </c>
      <c r="I36" s="128">
        <f t="shared" si="13"/>
        <v>0.38276644601967302</v>
      </c>
      <c r="J36" s="128">
        <f t="shared" ca="1" si="14"/>
        <v>7.1437090811915696E-2</v>
      </c>
      <c r="K36" s="23">
        <v>1</v>
      </c>
      <c r="L36" s="79"/>
      <c r="M36" s="79"/>
      <c r="N36" s="79"/>
      <c r="O36" s="79"/>
      <c r="P36" s="79"/>
      <c r="Q36" s="79"/>
      <c r="R36" s="79"/>
    </row>
    <row r="37" spans="1:18" ht="8.25" customHeight="1" x14ac:dyDescent="0.3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R37" s="79"/>
    </row>
    <row r="38" spans="1:18" ht="14.5" x14ac:dyDescent="0.35">
      <c r="A38" s="79"/>
      <c r="B38" s="82" t="s">
        <v>70</v>
      </c>
      <c r="C38" s="82"/>
      <c r="D38" s="82" t="s">
        <v>5</v>
      </c>
      <c r="E38" s="82"/>
      <c r="F38" s="82" t="s">
        <v>71</v>
      </c>
      <c r="G38" s="82"/>
      <c r="H38" s="82"/>
      <c r="I38" s="82" t="s">
        <v>72</v>
      </c>
      <c r="J38" s="82"/>
      <c r="K38" s="82"/>
      <c r="L38" s="108"/>
      <c r="M38" s="108"/>
      <c r="N38" s="108"/>
      <c r="O38" s="108"/>
      <c r="P38" s="108"/>
      <c r="Q38" s="108"/>
      <c r="R38" s="79"/>
    </row>
    <row r="39" spans="1:18" ht="15.75" customHeight="1" x14ac:dyDescent="0.35">
      <c r="A39" s="79"/>
      <c r="B39" s="10"/>
      <c r="C39" s="10"/>
      <c r="D39" s="10" t="s">
        <v>12</v>
      </c>
      <c r="E39" s="10" t="s">
        <v>13</v>
      </c>
      <c r="F39" s="10" t="s">
        <v>14</v>
      </c>
      <c r="G39" s="10" t="s">
        <v>0</v>
      </c>
      <c r="H39" s="10" t="s">
        <v>13</v>
      </c>
      <c r="I39" s="10" t="s">
        <v>0</v>
      </c>
      <c r="J39" s="10" t="s">
        <v>13</v>
      </c>
      <c r="K39" s="10" t="s">
        <v>15</v>
      </c>
      <c r="L39" s="79"/>
      <c r="M39" s="79"/>
      <c r="N39" s="79"/>
      <c r="O39" s="79"/>
      <c r="P39" s="79"/>
      <c r="Q39" s="79"/>
      <c r="R39" s="79"/>
    </row>
    <row r="40" spans="1:18" ht="12.75" customHeight="1" x14ac:dyDescent="0.35">
      <c r="A40" s="79"/>
      <c r="B40" s="88" t="s">
        <v>29</v>
      </c>
      <c r="C40" s="89" t="s">
        <v>18</v>
      </c>
      <c r="D40" s="125">
        <v>300</v>
      </c>
      <c r="E40" s="86">
        <f t="shared" ref="E40:E53" ca="1" si="15">INDIRECT("'" &amp; $S$2 &amp; "'!E" &amp; ROW()) + D40</f>
        <v>1350</v>
      </c>
      <c r="F40" s="20">
        <v>5.83</v>
      </c>
      <c r="G40" s="126">
        <f t="shared" ref="G40:G53" si="16">D40*F40</f>
        <v>1749</v>
      </c>
      <c r="H40" s="126">
        <f t="shared" ref="H40:H53" ca="1" si="17">INDIRECT("'" &amp; $S$2 &amp; "'!H" &amp; ROW()) + G40</f>
        <v>7870.5</v>
      </c>
      <c r="I40" s="127">
        <f t="shared" ref="I40:I53" si="18">IF($N$16=0,0,D40/$N$16*1000)</f>
        <v>4.5931973522360758</v>
      </c>
      <c r="J40" s="127">
        <f t="shared" ref="J40:J53" ca="1" si="19">IF($O$16=0,0,E40/$O$16*1000)</f>
        <v>3.8576029038434476</v>
      </c>
      <c r="K40" s="55">
        <v>6</v>
      </c>
      <c r="L40" s="79"/>
      <c r="M40" s="79"/>
      <c r="N40" s="79"/>
      <c r="O40" s="79"/>
      <c r="P40" s="79"/>
      <c r="Q40" s="79"/>
      <c r="R40" s="79"/>
    </row>
    <row r="41" spans="1:18" ht="12.75" customHeight="1" x14ac:dyDescent="0.35">
      <c r="A41" s="79"/>
      <c r="B41" s="74" t="s">
        <v>73</v>
      </c>
      <c r="C41" s="92" t="s">
        <v>18</v>
      </c>
      <c r="D41" s="125">
        <v>100</v>
      </c>
      <c r="E41" s="86">
        <f t="shared" ca="1" si="15"/>
        <v>900</v>
      </c>
      <c r="F41" s="20">
        <v>37.840000000000003</v>
      </c>
      <c r="G41" s="126">
        <f t="shared" si="16"/>
        <v>3784.0000000000005</v>
      </c>
      <c r="H41" s="126">
        <f t="shared" ca="1" si="17"/>
        <v>34056.000000000007</v>
      </c>
      <c r="I41" s="127">
        <f t="shared" si="18"/>
        <v>1.5310657840786921</v>
      </c>
      <c r="J41" s="127">
        <f t="shared" ca="1" si="19"/>
        <v>2.5717352692289648</v>
      </c>
      <c r="K41" s="55">
        <v>3</v>
      </c>
      <c r="L41" s="79"/>
      <c r="M41" s="79"/>
      <c r="N41" s="79"/>
      <c r="O41" s="79"/>
      <c r="P41" s="79"/>
      <c r="Q41" s="79"/>
      <c r="R41" s="79"/>
    </row>
    <row r="42" spans="1:18" ht="12.75" customHeight="1" x14ac:dyDescent="0.35">
      <c r="A42" s="79"/>
      <c r="B42" s="74" t="s">
        <v>74</v>
      </c>
      <c r="C42" s="92" t="s">
        <v>18</v>
      </c>
      <c r="D42" s="125">
        <v>25</v>
      </c>
      <c r="E42" s="86">
        <f t="shared" ca="1" si="15"/>
        <v>88.5</v>
      </c>
      <c r="F42" s="20">
        <v>21</v>
      </c>
      <c r="G42" s="126">
        <f t="shared" si="16"/>
        <v>525</v>
      </c>
      <c r="H42" s="126">
        <f t="shared" ca="1" si="17"/>
        <v>1858.5</v>
      </c>
      <c r="I42" s="127">
        <f t="shared" si="18"/>
        <v>0.38276644601967302</v>
      </c>
      <c r="J42" s="127">
        <f t="shared" ca="1" si="19"/>
        <v>0.25288730147418154</v>
      </c>
      <c r="K42" s="55">
        <v>0.35</v>
      </c>
      <c r="L42" s="79"/>
      <c r="M42" s="129"/>
      <c r="N42" s="79"/>
      <c r="O42" s="79"/>
      <c r="P42" s="79"/>
      <c r="Q42" s="79"/>
      <c r="R42" s="79"/>
    </row>
    <row r="43" spans="1:18" ht="12.75" customHeight="1" x14ac:dyDescent="0.35">
      <c r="A43" s="79"/>
      <c r="B43" s="74" t="s">
        <v>75</v>
      </c>
      <c r="C43" s="92" t="s">
        <v>18</v>
      </c>
      <c r="D43" s="125">
        <v>360</v>
      </c>
      <c r="E43" s="86">
        <f t="shared" ca="1" si="15"/>
        <v>2175</v>
      </c>
      <c r="F43" s="20">
        <v>2.9</v>
      </c>
      <c r="G43" s="126">
        <f t="shared" si="16"/>
        <v>1044</v>
      </c>
      <c r="H43" s="126">
        <f t="shared" ca="1" si="17"/>
        <v>6307.5</v>
      </c>
      <c r="I43" s="127">
        <f t="shared" si="18"/>
        <v>5.511836822683291</v>
      </c>
      <c r="J43" s="127">
        <f t="shared" ca="1" si="19"/>
        <v>6.2150269006366656</v>
      </c>
      <c r="K43" s="55">
        <v>7</v>
      </c>
      <c r="L43" s="79"/>
      <c r="M43" s="129"/>
      <c r="N43" s="79"/>
      <c r="O43" s="79"/>
      <c r="P43" s="79"/>
      <c r="Q43" s="79"/>
      <c r="R43" s="79"/>
    </row>
    <row r="44" spans="1:18" ht="12.75" customHeight="1" x14ac:dyDescent="0.35">
      <c r="A44" s="79"/>
      <c r="B44" s="74" t="s">
        <v>76</v>
      </c>
      <c r="C44" s="92" t="s">
        <v>18</v>
      </c>
      <c r="D44" s="125">
        <v>35</v>
      </c>
      <c r="E44" s="86">
        <f t="shared" ca="1" si="15"/>
        <v>130</v>
      </c>
      <c r="F44" s="20">
        <v>24</v>
      </c>
      <c r="G44" s="126">
        <f t="shared" si="16"/>
        <v>840</v>
      </c>
      <c r="H44" s="126">
        <f t="shared" ca="1" si="17"/>
        <v>3120</v>
      </c>
      <c r="I44" s="127">
        <f t="shared" si="18"/>
        <v>0.53587302442754225</v>
      </c>
      <c r="J44" s="127">
        <f t="shared" ca="1" si="19"/>
        <v>0.37147287222196163</v>
      </c>
      <c r="K44" s="55">
        <v>0.3</v>
      </c>
      <c r="L44" s="79"/>
      <c r="M44" s="129"/>
      <c r="N44" s="79"/>
      <c r="O44" s="79"/>
      <c r="P44" s="79"/>
      <c r="Q44" s="79"/>
      <c r="R44" s="79"/>
    </row>
    <row r="45" spans="1:18" ht="12.75" customHeight="1" x14ac:dyDescent="0.35">
      <c r="A45" s="79"/>
      <c r="B45" s="74" t="s">
        <v>77</v>
      </c>
      <c r="C45" s="92" t="s">
        <v>18</v>
      </c>
      <c r="D45" s="125">
        <v>1407.98</v>
      </c>
      <c r="E45" s="86">
        <f t="shared" ca="1" si="15"/>
        <v>8347.31</v>
      </c>
      <c r="F45" s="20">
        <v>0.64</v>
      </c>
      <c r="G45" s="126">
        <f t="shared" si="16"/>
        <v>901.10720000000003</v>
      </c>
      <c r="H45" s="126">
        <f t="shared" ca="1" si="17"/>
        <v>5342.2784000000001</v>
      </c>
      <c r="I45" s="127">
        <f t="shared" si="18"/>
        <v>21.557100026671169</v>
      </c>
      <c r="J45" s="127">
        <f t="shared" ca="1" si="19"/>
        <v>23.852301700208479</v>
      </c>
      <c r="K45" s="55">
        <v>12</v>
      </c>
      <c r="L45" s="79"/>
      <c r="M45" s="129"/>
      <c r="N45" s="79"/>
      <c r="O45" s="79"/>
      <c r="P45" s="79"/>
      <c r="Q45" s="79"/>
      <c r="R45" s="79"/>
    </row>
    <row r="46" spans="1:18" ht="12.75" customHeight="1" x14ac:dyDescent="0.35">
      <c r="A46" s="79"/>
      <c r="B46" s="74" t="s">
        <v>78</v>
      </c>
      <c r="C46" s="92" t="s">
        <v>18</v>
      </c>
      <c r="D46" s="125">
        <v>2</v>
      </c>
      <c r="E46" s="86">
        <f t="shared" ca="1" si="15"/>
        <v>82</v>
      </c>
      <c r="F46" s="20">
        <v>24</v>
      </c>
      <c r="G46" s="126">
        <f t="shared" si="16"/>
        <v>48</v>
      </c>
      <c r="H46" s="126">
        <f t="shared" ca="1" si="17"/>
        <v>1968</v>
      </c>
      <c r="I46" s="127">
        <f t="shared" si="18"/>
        <v>3.0621315681573842E-2</v>
      </c>
      <c r="J46" s="127">
        <f t="shared" ca="1" si="19"/>
        <v>0.23431365786308347</v>
      </c>
      <c r="K46" s="55">
        <v>0.4</v>
      </c>
      <c r="L46" s="79"/>
      <c r="M46" s="129"/>
      <c r="N46" s="79"/>
      <c r="O46" s="79"/>
      <c r="P46" s="79"/>
      <c r="Q46" s="79"/>
      <c r="R46" s="79"/>
    </row>
    <row r="47" spans="1:18" ht="12.75" customHeight="1" x14ac:dyDescent="0.35">
      <c r="A47" s="79"/>
      <c r="B47" s="74" t="s">
        <v>79</v>
      </c>
      <c r="C47" s="92" t="s">
        <v>18</v>
      </c>
      <c r="D47" s="125">
        <v>22</v>
      </c>
      <c r="E47" s="86">
        <f t="shared" ca="1" si="15"/>
        <v>22</v>
      </c>
      <c r="F47" s="20">
        <v>41.96</v>
      </c>
      <c r="G47" s="126">
        <f t="shared" si="16"/>
        <v>923.12</v>
      </c>
      <c r="H47" s="126">
        <f t="shared" ca="1" si="17"/>
        <v>923.12</v>
      </c>
      <c r="I47" s="127">
        <f t="shared" si="18"/>
        <v>0.33683447249731219</v>
      </c>
      <c r="J47" s="127">
        <f t="shared" ca="1" si="19"/>
        <v>6.2864639914485806E-2</v>
      </c>
      <c r="K47" s="55">
        <v>0.2</v>
      </c>
      <c r="L47" s="79"/>
      <c r="M47" s="129"/>
      <c r="N47" s="79"/>
      <c r="O47" s="79"/>
      <c r="P47" s="79"/>
      <c r="Q47" s="79"/>
      <c r="R47" s="79"/>
    </row>
    <row r="48" spans="1:18" ht="12.75" customHeight="1" x14ac:dyDescent="0.35">
      <c r="B48" s="74" t="s">
        <v>80</v>
      </c>
      <c r="C48" s="92" t="s">
        <v>18</v>
      </c>
      <c r="D48" s="125">
        <v>102.23</v>
      </c>
      <c r="E48" s="86">
        <f t="shared" ca="1" si="15"/>
        <v>746.1</v>
      </c>
      <c r="F48" s="20">
        <v>23.51</v>
      </c>
      <c r="G48" s="126">
        <f t="shared" si="16"/>
        <v>2403.4273000000003</v>
      </c>
      <c r="H48" s="126">
        <f t="shared" ca="1" si="17"/>
        <v>17540.811000000002</v>
      </c>
      <c r="I48" s="127">
        <f t="shared" si="18"/>
        <v>1.5652085510636469</v>
      </c>
      <c r="J48" s="127">
        <f t="shared" ca="1" si="19"/>
        <v>2.131968538190812</v>
      </c>
      <c r="K48" s="55">
        <v>2</v>
      </c>
      <c r="M48" s="129"/>
    </row>
    <row r="49" spans="2:13" ht="12.75" customHeight="1" x14ac:dyDescent="0.35">
      <c r="B49" s="74" t="s">
        <v>81</v>
      </c>
      <c r="C49" s="92" t="s">
        <v>18</v>
      </c>
      <c r="D49" s="125"/>
      <c r="E49" s="86">
        <f t="shared" ca="1" si="15"/>
        <v>0</v>
      </c>
      <c r="F49" s="20">
        <v>41.96</v>
      </c>
      <c r="G49" s="126">
        <f t="shared" si="16"/>
        <v>0</v>
      </c>
      <c r="H49" s="126">
        <f t="shared" ca="1" si="17"/>
        <v>0</v>
      </c>
      <c r="I49" s="127">
        <f t="shared" si="18"/>
        <v>0</v>
      </c>
      <c r="J49" s="127">
        <f t="shared" ca="1" si="19"/>
        <v>0</v>
      </c>
      <c r="K49" s="55">
        <v>0.5</v>
      </c>
      <c r="M49" s="129"/>
    </row>
    <row r="50" spans="2:13" ht="12.75" customHeight="1" x14ac:dyDescent="0.35">
      <c r="B50" s="74" t="s">
        <v>82</v>
      </c>
      <c r="C50" s="130" t="s">
        <v>18</v>
      </c>
      <c r="D50" s="125">
        <v>5.4</v>
      </c>
      <c r="E50" s="86">
        <f t="shared" ca="1" si="15"/>
        <v>84.01</v>
      </c>
      <c r="F50" s="20">
        <v>43.43</v>
      </c>
      <c r="G50" s="126">
        <f t="shared" si="16"/>
        <v>234.52200000000002</v>
      </c>
      <c r="H50" s="126">
        <f t="shared" ca="1" si="17"/>
        <v>3648.5542999999998</v>
      </c>
      <c r="I50" s="127">
        <f t="shared" si="18"/>
        <v>8.2677552340249386E-2</v>
      </c>
      <c r="J50" s="126">
        <f t="shared" ca="1" si="19"/>
        <v>0.24005719996436151</v>
      </c>
      <c r="K50" s="55">
        <v>0.05</v>
      </c>
    </row>
    <row r="51" spans="2:13" ht="12.75" customHeight="1" x14ac:dyDescent="0.35">
      <c r="B51" s="74" t="s">
        <v>63</v>
      </c>
      <c r="C51" s="89" t="s">
        <v>18</v>
      </c>
      <c r="D51" s="75">
        <v>2203.34</v>
      </c>
      <c r="E51" s="86">
        <f t="shared" ca="1" si="15"/>
        <v>9915.130000000001</v>
      </c>
      <c r="F51" s="76">
        <v>1.03</v>
      </c>
      <c r="G51" s="126">
        <f t="shared" si="16"/>
        <v>2269.4402</v>
      </c>
      <c r="H51" s="126">
        <f t="shared" ca="1" si="17"/>
        <v>10212.583900000001</v>
      </c>
      <c r="I51" s="127">
        <f t="shared" si="18"/>
        <v>33.734584846919454</v>
      </c>
      <c r="J51" s="126">
        <f t="shared" ca="1" si="19"/>
        <v>28.33232168887799</v>
      </c>
      <c r="K51" s="55">
        <v>0</v>
      </c>
    </row>
    <row r="52" spans="2:13" ht="12.75" customHeight="1" x14ac:dyDescent="0.35">
      <c r="B52" s="74" t="s">
        <v>83</v>
      </c>
      <c r="C52" s="28" t="s">
        <v>36</v>
      </c>
      <c r="D52" s="75"/>
      <c r="E52" s="86">
        <f t="shared" ca="1" si="15"/>
        <v>0</v>
      </c>
      <c r="F52" s="76">
        <v>26.1</v>
      </c>
      <c r="G52" s="20">
        <f t="shared" si="16"/>
        <v>0</v>
      </c>
      <c r="H52" s="126">
        <f t="shared" ca="1" si="17"/>
        <v>0</v>
      </c>
      <c r="I52" s="127">
        <f t="shared" si="18"/>
        <v>0</v>
      </c>
      <c r="J52" s="126">
        <f t="shared" ca="1" si="19"/>
        <v>0</v>
      </c>
      <c r="K52" s="23">
        <v>2.5</v>
      </c>
    </row>
    <row r="53" spans="2:13" ht="12.75" customHeight="1" x14ac:dyDescent="0.35">
      <c r="B53" s="74" t="s">
        <v>91</v>
      </c>
      <c r="C53" s="28" t="s">
        <v>36</v>
      </c>
      <c r="D53" s="75">
        <v>5.59</v>
      </c>
      <c r="E53" s="86">
        <f t="shared" ca="1" si="15"/>
        <v>62.269999999999996</v>
      </c>
      <c r="F53" s="76">
        <v>26.42</v>
      </c>
      <c r="G53" s="131">
        <f t="shared" si="16"/>
        <v>147.68780000000001</v>
      </c>
      <c r="H53" s="126">
        <f t="shared" ca="1" si="17"/>
        <v>1645.1733999999999</v>
      </c>
      <c r="I53" s="127">
        <f t="shared" si="18"/>
        <v>8.5586577329998872E-2</v>
      </c>
      <c r="J53" s="126">
        <f t="shared" ca="1" si="19"/>
        <v>0.1779355057943196</v>
      </c>
      <c r="K53" s="23">
        <v>0.3</v>
      </c>
    </row>
  </sheetData>
  <mergeCells count="7">
    <mergeCell ref="F16:H16"/>
    <mergeCell ref="I16:J16"/>
    <mergeCell ref="E2:P2"/>
    <mergeCell ref="C3:G3"/>
    <mergeCell ref="D4:E4"/>
    <mergeCell ref="F4:H4"/>
    <mergeCell ref="I4:J4"/>
  </mergeCells>
  <printOptions horizontalCentered="1" verticalCentered="1"/>
  <pageMargins left="0" right="0" top="0" bottom="0" header="0.511811023622047" footer="0.511811023622047"/>
  <pageSetup paperSize="9" scale="8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53"/>
  <sheetViews>
    <sheetView showGridLines="0" topLeftCell="A19" zoomScale="90" zoomScaleNormal="90" workbookViewId="0">
      <selection activeCell="P16" sqref="P16"/>
    </sheetView>
  </sheetViews>
  <sheetFormatPr defaultColWidth="9.1796875" defaultRowHeight="15" customHeight="1" x14ac:dyDescent="0.35"/>
  <cols>
    <col min="1" max="1" width="1.81640625" style="78" customWidth="1"/>
    <col min="2" max="2" width="21.54296875" style="78" customWidth="1"/>
    <col min="3" max="3" width="3.54296875" style="78" customWidth="1"/>
    <col min="4" max="4" width="10.453125" style="78" customWidth="1"/>
    <col min="5" max="5" width="7.7265625" style="78" customWidth="1"/>
    <col min="6" max="6" width="12" style="78" customWidth="1"/>
    <col min="7" max="7" width="9.453125" style="78" customWidth="1"/>
    <col min="8" max="8" width="9.81640625" style="78" customWidth="1"/>
    <col min="9" max="9" width="9.26953125" style="78" customWidth="1"/>
    <col min="10" max="10" width="7.54296875" style="78" customWidth="1"/>
    <col min="11" max="11" width="6.54296875" style="78" customWidth="1"/>
    <col min="12" max="12" width="5.453125" style="78" customWidth="1"/>
    <col min="13" max="13" width="22.7265625" style="78" customWidth="1"/>
    <col min="14" max="14" width="13.453125" style="78" customWidth="1"/>
    <col min="15" max="15" width="13.81640625" style="78" customWidth="1"/>
    <col min="16" max="16" width="13.54296875" style="78" customWidth="1"/>
    <col min="17" max="17" width="10.26953125" style="78" customWidth="1"/>
    <col min="18" max="1024" width="9.08984375" style="78"/>
  </cols>
  <sheetData>
    <row r="1" spans="1:19" ht="7.5" customHeight="1" x14ac:dyDescent="0.35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9" ht="20.25" customHeight="1" x14ac:dyDescent="0.35">
      <c r="A2" s="79"/>
      <c r="B2" s="80" t="s">
        <v>0</v>
      </c>
      <c r="C2" s="79"/>
      <c r="D2" s="79"/>
      <c r="E2" s="137" t="s">
        <v>1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79"/>
      <c r="R2" s="79"/>
      <c r="S2" s="78" t="s">
        <v>98</v>
      </c>
    </row>
    <row r="3" spans="1:19" ht="10.5" customHeight="1" x14ac:dyDescent="0.35">
      <c r="A3" s="79"/>
      <c r="B3" s="81">
        <v>7</v>
      </c>
      <c r="C3" s="138" t="s">
        <v>99</v>
      </c>
      <c r="D3" s="138"/>
      <c r="E3" s="138"/>
      <c r="F3" s="138"/>
      <c r="G3" s="13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 spans="1:19" ht="14.5" x14ac:dyDescent="0.35">
      <c r="A4" s="79"/>
      <c r="B4" s="82" t="s">
        <v>3</v>
      </c>
      <c r="C4" s="82"/>
      <c r="D4" s="136" t="s">
        <v>5</v>
      </c>
      <c r="E4" s="136"/>
      <c r="F4" s="136" t="s">
        <v>6</v>
      </c>
      <c r="G4" s="136"/>
      <c r="H4" s="136"/>
      <c r="I4" s="136" t="s">
        <v>7</v>
      </c>
      <c r="J4" s="136"/>
      <c r="K4" s="82"/>
      <c r="L4" s="82"/>
      <c r="M4" s="82" t="s">
        <v>8</v>
      </c>
      <c r="N4" s="83" t="s">
        <v>9</v>
      </c>
      <c r="O4" s="83" t="s">
        <v>10</v>
      </c>
      <c r="P4" s="83" t="s">
        <v>11</v>
      </c>
      <c r="Q4" s="84"/>
      <c r="R4" s="79"/>
    </row>
    <row r="5" spans="1:19" ht="14.5" x14ac:dyDescent="0.35">
      <c r="A5" s="79"/>
      <c r="B5" s="10"/>
      <c r="C5" s="10"/>
      <c r="D5" s="10" t="s">
        <v>12</v>
      </c>
      <c r="E5" s="10" t="s">
        <v>13</v>
      </c>
      <c r="F5" s="10" t="s">
        <v>14</v>
      </c>
      <c r="G5" s="10" t="s">
        <v>0</v>
      </c>
      <c r="H5" s="10" t="s">
        <v>13</v>
      </c>
      <c r="I5" s="10" t="s">
        <v>0</v>
      </c>
      <c r="J5" s="10" t="s">
        <v>13</v>
      </c>
      <c r="K5" s="10" t="s">
        <v>15</v>
      </c>
      <c r="L5" s="79"/>
      <c r="M5" s="43" t="s">
        <v>16</v>
      </c>
      <c r="N5" s="85">
        <v>105554</v>
      </c>
      <c r="O5" s="86">
        <f ca="1">INDIRECT("'" &amp; $S$2 &amp; "'!O" &amp; ROW()) + N5</f>
        <v>497463</v>
      </c>
      <c r="P5" s="85">
        <v>401492</v>
      </c>
      <c r="Q5" s="87"/>
      <c r="R5" s="79"/>
    </row>
    <row r="6" spans="1:19" ht="14.15" customHeight="1" x14ac:dyDescent="0.35">
      <c r="A6" s="79"/>
      <c r="B6" s="88" t="s">
        <v>17</v>
      </c>
      <c r="C6" s="89" t="s">
        <v>18</v>
      </c>
      <c r="D6" s="125">
        <v>17274</v>
      </c>
      <c r="E6" s="86">
        <f t="shared" ref="E6:E14" ca="1" si="0">INDIRECT("'" &amp; $S$2 &amp; "'!E" &amp; ROW()) + D6</f>
        <v>81606.350000000006</v>
      </c>
      <c r="F6" s="20">
        <v>8.6</v>
      </c>
      <c r="G6" s="126">
        <f t="shared" ref="G6:G14" si="1">F6*D6</f>
        <v>148556.4</v>
      </c>
      <c r="H6" s="126">
        <f t="shared" ref="H6:H14" ca="1" si="2">INDIRECT("'" &amp; $S$2 &amp; "'!H" &amp; ROW()) + G6</f>
        <v>421084.26159999997</v>
      </c>
      <c r="I6" s="127">
        <f>IF($N$9=0,0,D6/$N$9*1000)</f>
        <v>7.1443933428183835</v>
      </c>
      <c r="J6" s="127">
        <f ca="1">IF($O$9=0,0,E6/$O$9*1000)</f>
        <v>5.0074940890395716</v>
      </c>
      <c r="K6" s="23">
        <v>9.8000000000000007</v>
      </c>
      <c r="L6" s="79"/>
      <c r="M6" s="43" t="s">
        <v>19</v>
      </c>
      <c r="N6" s="85"/>
      <c r="O6" s="86">
        <f>'semana 1'!O6+N6</f>
        <v>0</v>
      </c>
      <c r="P6" s="85"/>
      <c r="R6" s="79"/>
    </row>
    <row r="7" spans="1:19" ht="14.15" customHeight="1" x14ac:dyDescent="0.35">
      <c r="A7" s="79"/>
      <c r="B7" s="74" t="s">
        <v>20</v>
      </c>
      <c r="C7" s="92" t="s">
        <v>18</v>
      </c>
      <c r="D7" s="125">
        <v>20</v>
      </c>
      <c r="E7" s="86">
        <f t="shared" ca="1" si="0"/>
        <v>120</v>
      </c>
      <c r="F7" s="20">
        <v>599</v>
      </c>
      <c r="G7" s="126">
        <f t="shared" si="1"/>
        <v>11980</v>
      </c>
      <c r="H7" s="126">
        <f t="shared" ca="1" si="2"/>
        <v>71880</v>
      </c>
      <c r="I7" s="128">
        <f t="shared" ref="I7:I14" si="3">IF($N$9=0,0,D7/$N$9*1000)*1000</f>
        <v>8.2718459451411182</v>
      </c>
      <c r="J7" s="128">
        <f t="shared" ref="J7:J14" ca="1" si="4">IF($O$9=0,0,E7/$O$9*1000)*1000</f>
        <v>7.3633888868298678</v>
      </c>
      <c r="K7" s="23">
        <v>6.8</v>
      </c>
      <c r="L7" s="79"/>
      <c r="M7" s="43" t="s">
        <v>21</v>
      </c>
      <c r="N7" s="85"/>
      <c r="O7" s="86">
        <f>'semana 1'!O7+N7</f>
        <v>0</v>
      </c>
      <c r="P7" s="85"/>
      <c r="Q7" s="87"/>
      <c r="R7" s="79"/>
    </row>
    <row r="8" spans="1:19" ht="14.15" customHeight="1" x14ac:dyDescent="0.35">
      <c r="A8" s="79"/>
      <c r="B8" s="74" t="s">
        <v>22</v>
      </c>
      <c r="C8" s="92" t="s">
        <v>18</v>
      </c>
      <c r="D8" s="125">
        <v>1075</v>
      </c>
      <c r="E8" s="86">
        <f t="shared" ca="1" si="0"/>
        <v>10850</v>
      </c>
      <c r="F8" s="20">
        <v>15</v>
      </c>
      <c r="G8" s="126">
        <f t="shared" si="1"/>
        <v>16125</v>
      </c>
      <c r="H8" s="126">
        <f t="shared" ca="1" si="2"/>
        <v>156092.4</v>
      </c>
      <c r="I8" s="128">
        <f t="shared" si="3"/>
        <v>444.61171955133506</v>
      </c>
      <c r="J8" s="128">
        <f t="shared" ca="1" si="4"/>
        <v>665.77307851753392</v>
      </c>
      <c r="K8" s="23">
        <v>400</v>
      </c>
      <c r="L8" s="79"/>
      <c r="M8" s="49" t="s">
        <v>23</v>
      </c>
      <c r="N8" s="94">
        <v>2417840</v>
      </c>
      <c r="O8" s="86">
        <f ca="1">INDIRECT("'" &amp; $S$2 &amp; "'!O" &amp; ROW()) + N8</f>
        <v>16296844</v>
      </c>
      <c r="P8" s="94">
        <v>6234307</v>
      </c>
      <c r="Q8" s="87"/>
      <c r="R8" s="79"/>
    </row>
    <row r="9" spans="1:19" ht="14.15" customHeight="1" x14ac:dyDescent="0.35">
      <c r="A9" s="79"/>
      <c r="B9" s="74" t="s">
        <v>24</v>
      </c>
      <c r="C9" s="92" t="s">
        <v>18</v>
      </c>
      <c r="D9" s="125">
        <v>685</v>
      </c>
      <c r="E9" s="86">
        <f t="shared" ca="1" si="0"/>
        <v>5984.05</v>
      </c>
      <c r="F9" s="20">
        <v>25.15</v>
      </c>
      <c r="G9" s="126">
        <f t="shared" si="1"/>
        <v>17227.75</v>
      </c>
      <c r="H9" s="126">
        <f t="shared" ca="1" si="2"/>
        <v>150498.85749999998</v>
      </c>
      <c r="I9" s="128">
        <f t="shared" si="3"/>
        <v>283.3107236210833</v>
      </c>
      <c r="J9" s="128">
        <f t="shared" ca="1" si="4"/>
        <v>367.19072723528558</v>
      </c>
      <c r="K9" s="23">
        <v>200</v>
      </c>
      <c r="L9" s="79"/>
      <c r="M9" s="34" t="s">
        <v>25</v>
      </c>
      <c r="N9" s="95">
        <f>SUM(N7:N8)</f>
        <v>2417840</v>
      </c>
      <c r="O9" s="95">
        <f ca="1">SUM(O7:O8)</f>
        <v>16296844</v>
      </c>
      <c r="P9" s="96"/>
      <c r="Q9" s="97"/>
      <c r="R9" s="79"/>
    </row>
    <row r="10" spans="1:19" ht="14.15" customHeight="1" x14ac:dyDescent="0.35">
      <c r="A10" s="79"/>
      <c r="B10" s="74" t="s">
        <v>26</v>
      </c>
      <c r="C10" s="92" t="s">
        <v>18</v>
      </c>
      <c r="D10" s="125"/>
      <c r="E10" s="86">
        <f t="shared" ca="1" si="0"/>
        <v>150</v>
      </c>
      <c r="F10" s="20">
        <v>10.98</v>
      </c>
      <c r="G10" s="126">
        <f t="shared" si="1"/>
        <v>0</v>
      </c>
      <c r="H10" s="126">
        <f t="shared" ca="1" si="2"/>
        <v>1647</v>
      </c>
      <c r="I10" s="128">
        <f t="shared" si="3"/>
        <v>0</v>
      </c>
      <c r="J10" s="128">
        <f t="shared" ca="1" si="4"/>
        <v>9.2042361085373354</v>
      </c>
      <c r="K10" s="23">
        <v>10</v>
      </c>
      <c r="L10" s="79"/>
      <c r="M10" s="38" t="s">
        <v>27</v>
      </c>
      <c r="N10" s="98">
        <f>SUM(N5:N6)</f>
        <v>105554</v>
      </c>
      <c r="O10" s="98">
        <f ca="1">SUM(O5:O6)</f>
        <v>497463</v>
      </c>
      <c r="P10" s="99"/>
      <c r="Q10" s="100"/>
      <c r="R10" s="79"/>
    </row>
    <row r="11" spans="1:19" ht="14.15" customHeight="1" x14ac:dyDescent="0.35">
      <c r="A11" s="79"/>
      <c r="B11" s="74" t="s">
        <v>28</v>
      </c>
      <c r="C11" s="92" t="s">
        <v>18</v>
      </c>
      <c r="D11" s="125"/>
      <c r="E11" s="86">
        <f t="shared" ca="1" si="0"/>
        <v>2653.34</v>
      </c>
      <c r="F11" s="20">
        <v>4.13</v>
      </c>
      <c r="G11" s="126">
        <f t="shared" si="1"/>
        <v>0</v>
      </c>
      <c r="H11" s="126">
        <f t="shared" ca="1" si="2"/>
        <v>10958.2942</v>
      </c>
      <c r="I11" s="128">
        <f t="shared" si="3"/>
        <v>0</v>
      </c>
      <c r="J11" s="128">
        <f t="shared" ca="1" si="4"/>
        <v>162.81311890817634</v>
      </c>
      <c r="K11" s="23"/>
      <c r="L11" s="79"/>
      <c r="R11" s="79"/>
    </row>
    <row r="12" spans="1:19" ht="14.15" customHeight="1" x14ac:dyDescent="0.35">
      <c r="A12" s="79"/>
      <c r="B12" s="74" t="s">
        <v>29</v>
      </c>
      <c r="C12" s="92" t="s">
        <v>18</v>
      </c>
      <c r="D12" s="125">
        <v>1000</v>
      </c>
      <c r="E12" s="86">
        <f t="shared" ca="1" si="0"/>
        <v>5500</v>
      </c>
      <c r="F12" s="20">
        <v>5.83</v>
      </c>
      <c r="G12" s="126">
        <f t="shared" si="1"/>
        <v>5830</v>
      </c>
      <c r="H12" s="126">
        <f t="shared" ca="1" si="2"/>
        <v>32065</v>
      </c>
      <c r="I12" s="128">
        <f t="shared" si="3"/>
        <v>413.59229725705586</v>
      </c>
      <c r="J12" s="128">
        <f t="shared" ca="1" si="4"/>
        <v>337.48865731303556</v>
      </c>
      <c r="K12" s="23">
        <v>400</v>
      </c>
      <c r="L12" s="79"/>
      <c r="M12" s="56" t="s">
        <v>30</v>
      </c>
      <c r="N12" s="101"/>
      <c r="O12" s="101"/>
      <c r="P12" s="101"/>
      <c r="R12" s="79"/>
    </row>
    <row r="13" spans="1:19" ht="14.15" customHeight="1" x14ac:dyDescent="0.35">
      <c r="A13" s="79"/>
      <c r="B13" s="74" t="s">
        <v>31</v>
      </c>
      <c r="C13" s="92" t="s">
        <v>18</v>
      </c>
      <c r="D13" s="125">
        <v>1766.11</v>
      </c>
      <c r="E13" s="86">
        <f t="shared" ca="1" si="0"/>
        <v>5892.2499999999991</v>
      </c>
      <c r="F13" s="20">
        <v>6</v>
      </c>
      <c r="G13" s="126">
        <f t="shared" si="1"/>
        <v>10596.66</v>
      </c>
      <c r="H13" s="126">
        <f t="shared" ca="1" si="2"/>
        <v>35353.5</v>
      </c>
      <c r="I13" s="128">
        <f t="shared" si="3"/>
        <v>730.449492108659</v>
      </c>
      <c r="J13" s="128">
        <f t="shared" ca="1" si="4"/>
        <v>361.55773473686065</v>
      </c>
      <c r="K13" s="23">
        <v>500</v>
      </c>
      <c r="L13" s="79"/>
      <c r="M13" s="43" t="s">
        <v>32</v>
      </c>
      <c r="N13" s="44" t="s">
        <v>0</v>
      </c>
      <c r="O13" s="44" t="s">
        <v>33</v>
      </c>
      <c r="P13" s="44" t="s">
        <v>34</v>
      </c>
      <c r="R13" s="79"/>
    </row>
    <row r="14" spans="1:19" ht="14.15" customHeight="1" x14ac:dyDescent="0.35">
      <c r="A14" s="79"/>
      <c r="B14" s="102" t="s">
        <v>35</v>
      </c>
      <c r="C14" s="103" t="s">
        <v>18</v>
      </c>
      <c r="D14" s="125">
        <v>20</v>
      </c>
      <c r="E14" s="86">
        <f t="shared" ca="1" si="0"/>
        <v>55</v>
      </c>
      <c r="F14" s="20">
        <v>425</v>
      </c>
      <c r="G14" s="126">
        <f t="shared" si="1"/>
        <v>8500</v>
      </c>
      <c r="H14" s="126">
        <f t="shared" ca="1" si="2"/>
        <v>23375</v>
      </c>
      <c r="I14" s="128">
        <f t="shared" si="3"/>
        <v>8.2718459451411182</v>
      </c>
      <c r="J14" s="128">
        <f t="shared" ca="1" si="4"/>
        <v>3.3748865731303557</v>
      </c>
      <c r="K14" s="23">
        <v>3</v>
      </c>
      <c r="L14" s="79"/>
      <c r="M14" s="43" t="s">
        <v>37</v>
      </c>
      <c r="N14" s="104">
        <v>30677.580999999998</v>
      </c>
      <c r="O14" s="105">
        <f ca="1">INDIRECT("'" &amp; $S$2 &amp; "'!O" &amp; ROW()) + N14</f>
        <v>216277.04599999997</v>
      </c>
      <c r="P14" s="105">
        <v>95039.998000000007</v>
      </c>
      <c r="R14" s="79"/>
    </row>
    <row r="15" spans="1:19" ht="14.5" x14ac:dyDescent="0.3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49" t="s">
        <v>38</v>
      </c>
      <c r="N15" s="107">
        <v>40440.538999999997</v>
      </c>
      <c r="O15" s="105">
        <f ca="1">INDIRECT("'" &amp; $S$2 &amp; "'!O" &amp; ROW()) + N15</f>
        <v>204799.33399999997</v>
      </c>
      <c r="P15" s="105">
        <v>179492.802</v>
      </c>
      <c r="R15" s="79"/>
    </row>
    <row r="16" spans="1:19" ht="14.5" x14ac:dyDescent="0.35">
      <c r="A16" s="79"/>
      <c r="B16" s="82" t="s">
        <v>39</v>
      </c>
      <c r="C16" s="82"/>
      <c r="D16" s="82" t="s">
        <v>5</v>
      </c>
      <c r="E16" s="82"/>
      <c r="F16" s="136" t="s">
        <v>6</v>
      </c>
      <c r="G16" s="136"/>
      <c r="H16" s="136"/>
      <c r="I16" s="136" t="s">
        <v>40</v>
      </c>
      <c r="J16" s="136"/>
      <c r="K16" s="82"/>
      <c r="L16" s="108"/>
      <c r="M16" s="52" t="s">
        <v>41</v>
      </c>
      <c r="N16" s="109">
        <f>SUM(N14:N15)</f>
        <v>71118.12</v>
      </c>
      <c r="O16" s="109">
        <f ca="1">SUM(O14:O15)</f>
        <v>421076.37999999995</v>
      </c>
      <c r="P16" s="110">
        <f>P15+P14</f>
        <v>274532.8</v>
      </c>
      <c r="Q16" s="108"/>
      <c r="R16" s="79"/>
    </row>
    <row r="17" spans="1:18" ht="14.5" x14ac:dyDescent="0.35">
      <c r="A17" s="79"/>
      <c r="B17" s="10"/>
      <c r="C17" s="10"/>
      <c r="D17" s="10" t="s">
        <v>12</v>
      </c>
      <c r="E17" s="10" t="s">
        <v>13</v>
      </c>
      <c r="F17" s="10" t="s">
        <v>14</v>
      </c>
      <c r="G17" s="10" t="s">
        <v>0</v>
      </c>
      <c r="H17" s="10" t="s">
        <v>13</v>
      </c>
      <c r="I17" s="10" t="s">
        <v>0</v>
      </c>
      <c r="J17" s="10" t="s">
        <v>13</v>
      </c>
      <c r="K17" s="10" t="s">
        <v>15</v>
      </c>
      <c r="L17" s="79"/>
      <c r="Q17" s="79"/>
      <c r="R17" s="79"/>
    </row>
    <row r="18" spans="1:18" ht="14.15" customHeight="1" x14ac:dyDescent="0.35">
      <c r="A18" s="79"/>
      <c r="B18" s="88" t="s">
        <v>42</v>
      </c>
      <c r="C18" s="89" t="s">
        <v>18</v>
      </c>
      <c r="D18" s="125">
        <v>275</v>
      </c>
      <c r="E18" s="86">
        <f t="shared" ref="E18:E27" ca="1" si="5">INDIRECT("'" &amp; $S$2 &amp; "'!E" &amp; ROW()) + D18</f>
        <v>2150</v>
      </c>
      <c r="F18" s="20">
        <v>21</v>
      </c>
      <c r="G18" s="126">
        <f t="shared" ref="G18:G27" si="6">D18*F18</f>
        <v>5775</v>
      </c>
      <c r="H18" s="126">
        <f t="shared" ref="H18:H27" ca="1" si="7">INDIRECT("'" &amp; $S$2 &amp; "'!H" &amp; ROW()) + G18</f>
        <v>45150</v>
      </c>
      <c r="I18" s="127">
        <f t="shared" ref="I18:I27" si="8">IF($N$10=0,0,D18/$N$16*1000)</f>
        <v>3.8668063778963786</v>
      </c>
      <c r="J18" s="127">
        <f t="shared" ref="J18:J27" ca="1" si="9">IF($O$10=0,0,E18/$O$16*1000)</f>
        <v>5.1059620109776764</v>
      </c>
      <c r="K18" s="55">
        <v>6.1</v>
      </c>
      <c r="L18" s="79"/>
      <c r="M18" s="56" t="s">
        <v>43</v>
      </c>
      <c r="N18" s="57" t="s">
        <v>0</v>
      </c>
      <c r="O18" s="57" t="s">
        <v>33</v>
      </c>
      <c r="Q18" s="79"/>
      <c r="R18" s="79"/>
    </row>
    <row r="19" spans="1:18" ht="14.15" customHeight="1" x14ac:dyDescent="0.35">
      <c r="A19" s="79"/>
      <c r="B19" s="74" t="s">
        <v>45</v>
      </c>
      <c r="C19" s="92" t="s">
        <v>18</v>
      </c>
      <c r="D19" s="125">
        <v>450</v>
      </c>
      <c r="E19" s="86">
        <f t="shared" ca="1" si="5"/>
        <v>2325</v>
      </c>
      <c r="F19" s="20">
        <v>15.63</v>
      </c>
      <c r="G19" s="126">
        <f t="shared" si="6"/>
        <v>7033.5</v>
      </c>
      <c r="H19" s="126">
        <f t="shared" ca="1" si="7"/>
        <v>36339.75</v>
      </c>
      <c r="I19" s="127">
        <f t="shared" si="8"/>
        <v>6.3275013456486198</v>
      </c>
      <c r="J19" s="127">
        <f t="shared" ca="1" si="9"/>
        <v>5.521563570010743</v>
      </c>
      <c r="K19" s="55">
        <v>9</v>
      </c>
      <c r="L19" s="79"/>
      <c r="M19" s="43" t="s">
        <v>46</v>
      </c>
      <c r="N19" s="58">
        <f>SUM(G6:G14)</f>
        <v>218815.81</v>
      </c>
      <c r="O19" s="126">
        <f ca="1">INDIRECT("'" &amp; $S$2 &amp; "'!O" &amp; ROW()) + N19</f>
        <v>902954.31330000004</v>
      </c>
      <c r="Q19" s="79"/>
      <c r="R19" s="79"/>
    </row>
    <row r="20" spans="1:18" ht="14.15" customHeight="1" x14ac:dyDescent="0.35">
      <c r="A20" s="79"/>
      <c r="B20" s="74" t="s">
        <v>47</v>
      </c>
      <c r="C20" s="92" t="s">
        <v>18</v>
      </c>
      <c r="D20" s="125"/>
      <c r="E20" s="86">
        <f t="shared" ca="1" si="5"/>
        <v>1000</v>
      </c>
      <c r="F20" s="20">
        <v>6.7</v>
      </c>
      <c r="G20" s="126">
        <f t="shared" si="6"/>
        <v>0</v>
      </c>
      <c r="H20" s="126">
        <f t="shared" ca="1" si="7"/>
        <v>6700</v>
      </c>
      <c r="I20" s="127">
        <f t="shared" si="8"/>
        <v>0</v>
      </c>
      <c r="J20" s="127">
        <f t="shared" ca="1" si="9"/>
        <v>2.374866051617524</v>
      </c>
      <c r="K20" s="55">
        <v>51</v>
      </c>
      <c r="L20" s="79"/>
      <c r="M20" s="43" t="s">
        <v>48</v>
      </c>
      <c r="N20" s="58">
        <f>SUM(G18:G27)+G51</f>
        <v>63213.033500000005</v>
      </c>
      <c r="O20" s="126">
        <f ca="1">INDIRECT("'" &amp; $S$2 &amp; "'!O" &amp; ROW()) + N20</f>
        <v>440056.4817</v>
      </c>
      <c r="Q20" s="79"/>
      <c r="R20" s="79"/>
    </row>
    <row r="21" spans="1:18" ht="14.15" customHeight="1" x14ac:dyDescent="0.35">
      <c r="A21" s="79"/>
      <c r="B21" s="74" t="s">
        <v>49</v>
      </c>
      <c r="C21" s="92" t="s">
        <v>18</v>
      </c>
      <c r="D21" s="125"/>
      <c r="E21" s="86">
        <f t="shared" ca="1" si="5"/>
        <v>0</v>
      </c>
      <c r="F21" s="20">
        <v>5.85</v>
      </c>
      <c r="G21" s="126">
        <f t="shared" si="6"/>
        <v>0</v>
      </c>
      <c r="H21" s="126">
        <f t="shared" ca="1" si="7"/>
        <v>0</v>
      </c>
      <c r="I21" s="127">
        <f t="shared" si="8"/>
        <v>0</v>
      </c>
      <c r="J21" s="127">
        <f t="shared" ca="1" si="9"/>
        <v>0</v>
      </c>
      <c r="K21" s="55"/>
      <c r="L21" s="79"/>
      <c r="M21" s="43" t="s">
        <v>50</v>
      </c>
      <c r="N21" s="58">
        <f>SUM(G30:G37)</f>
        <v>8187.75</v>
      </c>
      <c r="O21" s="126">
        <f ca="1">INDIRECT("'" &amp; $S$2 &amp; "'!O" &amp; ROW()) + N21</f>
        <v>56098.558499999999</v>
      </c>
      <c r="Q21" s="79"/>
      <c r="R21" s="79"/>
    </row>
    <row r="22" spans="1:18" ht="14.15" customHeight="1" x14ac:dyDescent="0.35">
      <c r="A22" s="79"/>
      <c r="B22" s="74" t="s">
        <v>51</v>
      </c>
      <c r="C22" s="92" t="s">
        <v>18</v>
      </c>
      <c r="D22" s="125">
        <v>33154.9</v>
      </c>
      <c r="E22" s="86">
        <f t="shared" ca="1" si="5"/>
        <v>193762.8</v>
      </c>
      <c r="F22" s="20">
        <v>1.03</v>
      </c>
      <c r="G22" s="126">
        <f t="shared" si="6"/>
        <v>34149.547000000006</v>
      </c>
      <c r="H22" s="126">
        <f t="shared" ca="1" si="7"/>
        <v>199575.68400000001</v>
      </c>
      <c r="I22" s="127">
        <f t="shared" si="8"/>
        <v>466.19483192187874</v>
      </c>
      <c r="J22" s="127">
        <f t="shared" ca="1" si="9"/>
        <v>460.16069578635592</v>
      </c>
      <c r="K22" s="55">
        <v>1000</v>
      </c>
      <c r="L22" s="79"/>
      <c r="M22" s="49" t="s">
        <v>52</v>
      </c>
      <c r="N22" s="58">
        <f>SUM(G40:G53)-G51</f>
        <v>19436.6531</v>
      </c>
      <c r="O22" s="126">
        <f ca="1">INDIRECT("'" &amp; $S$2 &amp; "'!O" &amp; ROW()) + N22</f>
        <v>105986.63340000001</v>
      </c>
      <c r="Q22" s="79"/>
      <c r="R22" s="79"/>
    </row>
    <row r="23" spans="1:18" ht="14.15" customHeight="1" x14ac:dyDescent="0.35">
      <c r="A23" s="79"/>
      <c r="B23" s="74" t="s">
        <v>29</v>
      </c>
      <c r="C23" s="92" t="s">
        <v>18</v>
      </c>
      <c r="D23" s="125">
        <v>675</v>
      </c>
      <c r="E23" s="86">
        <f t="shared" ca="1" si="5"/>
        <v>4025</v>
      </c>
      <c r="F23" s="20">
        <v>5.83</v>
      </c>
      <c r="G23" s="126">
        <f t="shared" si="6"/>
        <v>3935.25</v>
      </c>
      <c r="H23" s="126">
        <f t="shared" ca="1" si="7"/>
        <v>23465.75</v>
      </c>
      <c r="I23" s="127">
        <f t="shared" si="8"/>
        <v>9.491252018472931</v>
      </c>
      <c r="J23" s="127">
        <f t="shared" ca="1" si="9"/>
        <v>9.5588358577605348</v>
      </c>
      <c r="K23" s="55">
        <v>13</v>
      </c>
      <c r="L23" s="79"/>
      <c r="M23" s="52" t="s">
        <v>53</v>
      </c>
      <c r="N23" s="112">
        <f>SUM(N19:N22)</f>
        <v>309653.24660000001</v>
      </c>
      <c r="O23" s="113">
        <f ca="1">SUM(O19:O22)</f>
        <v>1505095.9868999999</v>
      </c>
      <c r="Q23" s="79"/>
      <c r="R23" s="79"/>
    </row>
    <row r="24" spans="1:18" ht="14.15" customHeight="1" x14ac:dyDescent="0.35">
      <c r="A24" s="79"/>
      <c r="B24" s="74" t="s">
        <v>54</v>
      </c>
      <c r="C24" s="92" t="s">
        <v>18</v>
      </c>
      <c r="D24" s="125">
        <v>716.66</v>
      </c>
      <c r="E24" s="86">
        <f t="shared" ca="1" si="5"/>
        <v>6555.5199999999995</v>
      </c>
      <c r="F24" s="20">
        <v>8</v>
      </c>
      <c r="G24" s="126">
        <f t="shared" si="6"/>
        <v>5733.28</v>
      </c>
      <c r="H24" s="126">
        <f t="shared" ca="1" si="7"/>
        <v>52444.159999999996</v>
      </c>
      <c r="I24" s="127">
        <f t="shared" si="8"/>
        <v>10.077038031938978</v>
      </c>
      <c r="J24" s="127">
        <f t="shared" ca="1" si="9"/>
        <v>15.568481898699709</v>
      </c>
      <c r="K24" s="55">
        <v>2.8</v>
      </c>
      <c r="L24" s="79"/>
      <c r="P24" s="79"/>
      <c r="Q24" s="79"/>
      <c r="R24" s="79"/>
    </row>
    <row r="25" spans="1:18" ht="14.15" customHeight="1" x14ac:dyDescent="0.35">
      <c r="A25" s="79"/>
      <c r="B25" s="74" t="s">
        <v>55</v>
      </c>
      <c r="C25" s="92" t="s">
        <v>18</v>
      </c>
      <c r="D25" s="125">
        <v>1125.8900000000001</v>
      </c>
      <c r="E25" s="86">
        <f t="shared" ca="1" si="5"/>
        <v>11698.82</v>
      </c>
      <c r="F25" s="20">
        <v>5.85</v>
      </c>
      <c r="G25" s="126">
        <f t="shared" si="6"/>
        <v>6586.4565000000002</v>
      </c>
      <c r="H25" s="126">
        <f t="shared" ca="1" si="7"/>
        <v>68438.09699999998</v>
      </c>
      <c r="I25" s="127">
        <f t="shared" si="8"/>
        <v>15.831267755671833</v>
      </c>
      <c r="J25" s="127">
        <f t="shared" ca="1" si="9"/>
        <v>27.783130461984122</v>
      </c>
      <c r="K25" s="55">
        <v>28</v>
      </c>
      <c r="L25" s="79"/>
      <c r="M25" s="56" t="s">
        <v>56</v>
      </c>
      <c r="N25" s="56" t="s">
        <v>9</v>
      </c>
      <c r="O25" s="56"/>
      <c r="P25" s="56" t="s">
        <v>10</v>
      </c>
      <c r="Q25" s="56"/>
      <c r="R25" s="79"/>
    </row>
    <row r="26" spans="1:18" ht="14.15" customHeight="1" x14ac:dyDescent="0.35">
      <c r="A26" s="79"/>
      <c r="B26" s="74" t="s">
        <v>58</v>
      </c>
      <c r="C26" s="103" t="s">
        <v>36</v>
      </c>
      <c r="D26" s="125"/>
      <c r="E26" s="86">
        <f t="shared" ca="1" si="5"/>
        <v>0</v>
      </c>
      <c r="F26" s="20">
        <v>6.98</v>
      </c>
      <c r="G26" s="126">
        <f t="shared" si="6"/>
        <v>0</v>
      </c>
      <c r="H26" s="126">
        <f t="shared" ca="1" si="7"/>
        <v>0</v>
      </c>
      <c r="I26" s="127">
        <f t="shared" si="8"/>
        <v>0</v>
      </c>
      <c r="J26" s="127">
        <f t="shared" ca="1" si="9"/>
        <v>0</v>
      </c>
      <c r="K26" s="55">
        <v>21.3</v>
      </c>
      <c r="L26" s="79"/>
      <c r="M26" s="43" t="s">
        <v>46</v>
      </c>
      <c r="N26" s="114">
        <f>IF($N$9=0,0,N19/$N$9*1000)</f>
        <v>90.50053353406345</v>
      </c>
      <c r="O26" s="44" t="s">
        <v>59</v>
      </c>
      <c r="P26" s="114">
        <f ca="1">IF($O$9=0,0,O19/$O$9*1000)</f>
        <v>55.406697965569286</v>
      </c>
      <c r="Q26" s="44" t="s">
        <v>59</v>
      </c>
      <c r="R26" s="79"/>
    </row>
    <row r="27" spans="1:18" ht="14.15" customHeight="1" x14ac:dyDescent="0.35">
      <c r="A27" s="79"/>
      <c r="B27" s="74" t="s">
        <v>86</v>
      </c>
      <c r="C27" s="103" t="s">
        <v>36</v>
      </c>
      <c r="D27" s="75">
        <v>22.22</v>
      </c>
      <c r="E27" s="86">
        <f t="shared" ca="1" si="5"/>
        <v>22.22</v>
      </c>
      <c r="F27" s="115"/>
      <c r="G27" s="126">
        <f t="shared" si="6"/>
        <v>0</v>
      </c>
      <c r="H27" s="126">
        <f t="shared" ca="1" si="7"/>
        <v>0</v>
      </c>
      <c r="I27" s="127">
        <f t="shared" si="8"/>
        <v>0.31243795533402735</v>
      </c>
      <c r="J27" s="127">
        <f t="shared" ca="1" si="9"/>
        <v>5.2769523666941383E-2</v>
      </c>
      <c r="K27" s="55">
        <v>3.6</v>
      </c>
      <c r="L27" s="108"/>
      <c r="M27" s="43" t="s">
        <v>48</v>
      </c>
      <c r="N27" s="114">
        <f>IF($N$10=0,0,N20/$N$16)</f>
        <v>0.88884567674173631</v>
      </c>
      <c r="O27" s="44" t="s">
        <v>60</v>
      </c>
      <c r="P27" s="114">
        <f ca="1">IF($O$10=0,0,O20/$O$16)</f>
        <v>1.0450751991835783</v>
      </c>
      <c r="Q27" s="44" t="s">
        <v>60</v>
      </c>
    </row>
    <row r="28" spans="1:18" ht="14.5" x14ac:dyDescent="0.35">
      <c r="A28" s="79"/>
      <c r="B28" s="82" t="s">
        <v>62</v>
      </c>
      <c r="C28" s="82"/>
      <c r="D28" s="82" t="s">
        <v>5</v>
      </c>
      <c r="E28" s="82"/>
      <c r="F28" s="82" t="s">
        <v>6</v>
      </c>
      <c r="G28" s="82"/>
      <c r="H28" s="82"/>
      <c r="I28" s="82" t="s">
        <v>40</v>
      </c>
      <c r="J28" s="82"/>
      <c r="K28" s="82"/>
      <c r="L28" s="79"/>
      <c r="M28" s="43" t="s">
        <v>50</v>
      </c>
      <c r="N28" s="114">
        <f>IF($N$16=0,0,N21/$N$16)</f>
        <v>0.11512888698407664</v>
      </c>
      <c r="O28" s="44" t="s">
        <v>60</v>
      </c>
      <c r="P28" s="114">
        <f ca="1">IF($O$16=0,0,O21/$O$16)</f>
        <v>0.13322656212632969</v>
      </c>
      <c r="Q28" s="44" t="s">
        <v>60</v>
      </c>
    </row>
    <row r="29" spans="1:18" ht="14.5" x14ac:dyDescent="0.35">
      <c r="A29" s="79"/>
      <c r="B29" s="10"/>
      <c r="C29" s="10"/>
      <c r="D29" s="10" t="s">
        <v>12</v>
      </c>
      <c r="E29" s="10" t="s">
        <v>13</v>
      </c>
      <c r="F29" s="10" t="s">
        <v>14</v>
      </c>
      <c r="G29" s="10" t="s">
        <v>0</v>
      </c>
      <c r="H29" s="10" t="s">
        <v>13</v>
      </c>
      <c r="I29" s="10" t="s">
        <v>0</v>
      </c>
      <c r="J29" s="10" t="s">
        <v>13</v>
      </c>
      <c r="K29" s="10" t="s">
        <v>15</v>
      </c>
      <c r="L29" s="79"/>
      <c r="M29" s="49" t="s">
        <v>52</v>
      </c>
      <c r="N29" s="116">
        <f>IF($N$16=0,0,N22/$N$16)</f>
        <v>0.27330099698923427</v>
      </c>
      <c r="O29" s="117" t="s">
        <v>60</v>
      </c>
      <c r="P29" s="116">
        <f ca="1">IF($O$16=0,0,O22/$O$16)</f>
        <v>0.25170405758689202</v>
      </c>
      <c r="Q29" s="117" t="s">
        <v>60</v>
      </c>
    </row>
    <row r="30" spans="1:18" ht="14.15" customHeight="1" x14ac:dyDescent="0.35">
      <c r="A30" s="79"/>
      <c r="B30" s="88" t="s">
        <v>63</v>
      </c>
      <c r="C30" s="89" t="s">
        <v>18</v>
      </c>
      <c r="D30" s="125"/>
      <c r="E30" s="86">
        <f t="shared" ref="E30:E36" ca="1" si="10">INDIRECT("'" &amp; $S$2 &amp; "'!E" &amp; ROW()) + D30</f>
        <v>3305</v>
      </c>
      <c r="F30" s="20">
        <v>1.03</v>
      </c>
      <c r="G30" s="126">
        <f t="shared" ref="G30:G36" si="11">D30*F30</f>
        <v>0</v>
      </c>
      <c r="H30" s="126">
        <f t="shared" ref="H30:H36" ca="1" si="12">INDIRECT("'" &amp; $S$2 &amp; "'!H" &amp; ROW()) + G30</f>
        <v>3404.15</v>
      </c>
      <c r="I30" s="128">
        <f t="shared" ref="I30:I36" si="13">IF($N$16=0,0,D30/$N$16*1000)</f>
        <v>0</v>
      </c>
      <c r="J30" s="128">
        <f t="shared" ref="J30:J36" ca="1" si="14">IF($O$16=0,0,E30/$O$16*1000)</f>
        <v>7.8489323005959175</v>
      </c>
      <c r="K30" s="23">
        <v>0</v>
      </c>
      <c r="L30" s="79"/>
      <c r="M30" s="52" t="s">
        <v>64</v>
      </c>
      <c r="N30" s="119">
        <f>IF($N$16=0,0,N23/$N$16)</f>
        <v>4.3540696323243644</v>
      </c>
      <c r="O30" s="120" t="s">
        <v>60</v>
      </c>
      <c r="P30" s="119">
        <f ca="1">IF($O$16=0,0,O23/$O$16)</f>
        <v>3.5744013637145833</v>
      </c>
      <c r="Q30" s="121" t="s">
        <v>60</v>
      </c>
    </row>
    <row r="31" spans="1:18" ht="14.15" customHeight="1" x14ac:dyDescent="0.35">
      <c r="A31" s="79"/>
      <c r="B31" s="74" t="s">
        <v>29</v>
      </c>
      <c r="C31" s="92" t="s">
        <v>18</v>
      </c>
      <c r="D31" s="125">
        <v>25</v>
      </c>
      <c r="E31" s="86">
        <f t="shared" ca="1" si="10"/>
        <v>250</v>
      </c>
      <c r="F31" s="20">
        <v>5.83</v>
      </c>
      <c r="G31" s="126">
        <f t="shared" si="11"/>
        <v>145.75</v>
      </c>
      <c r="H31" s="126">
        <f t="shared" ca="1" si="12"/>
        <v>1457.5</v>
      </c>
      <c r="I31" s="128">
        <f t="shared" si="13"/>
        <v>0.35152785253603441</v>
      </c>
      <c r="J31" s="128">
        <f t="shared" ca="1" si="14"/>
        <v>0.59371651290438099</v>
      </c>
      <c r="K31" s="23">
        <v>1.5</v>
      </c>
      <c r="L31" s="79"/>
    </row>
    <row r="32" spans="1:18" ht="14.15" customHeight="1" x14ac:dyDescent="0.35">
      <c r="A32" s="79"/>
      <c r="B32" s="74" t="s">
        <v>65</v>
      </c>
      <c r="C32" s="92" t="s">
        <v>18</v>
      </c>
      <c r="D32" s="125">
        <v>700</v>
      </c>
      <c r="E32" s="86">
        <f t="shared" ca="1" si="10"/>
        <v>4694.1499999999996</v>
      </c>
      <c r="F32" s="20">
        <v>8.99</v>
      </c>
      <c r="G32" s="126">
        <f t="shared" si="11"/>
        <v>6293</v>
      </c>
      <c r="H32" s="126">
        <f t="shared" ca="1" si="12"/>
        <v>42200.408500000005</v>
      </c>
      <c r="I32" s="128">
        <f t="shared" si="13"/>
        <v>9.8427798710089647</v>
      </c>
      <c r="J32" s="128">
        <f t="shared" ca="1" si="14"/>
        <v>11.147977476200399</v>
      </c>
      <c r="K32" s="23">
        <v>8</v>
      </c>
      <c r="L32" s="79"/>
    </row>
    <row r="33" spans="1:18" ht="14.15" customHeight="1" x14ac:dyDescent="0.35">
      <c r="A33" s="79"/>
      <c r="B33" s="102" t="s">
        <v>66</v>
      </c>
      <c r="C33" s="103" t="s">
        <v>18</v>
      </c>
      <c r="D33" s="125"/>
      <c r="E33" s="86">
        <f t="shared" ca="1" si="10"/>
        <v>0</v>
      </c>
      <c r="F33" s="20">
        <v>24</v>
      </c>
      <c r="G33" s="126">
        <f t="shared" si="11"/>
        <v>0</v>
      </c>
      <c r="H33" s="126">
        <f t="shared" ca="1" si="12"/>
        <v>0</v>
      </c>
      <c r="I33" s="128">
        <f t="shared" si="13"/>
        <v>0</v>
      </c>
      <c r="J33" s="128">
        <f t="shared" ca="1" si="14"/>
        <v>0</v>
      </c>
      <c r="K33" s="23">
        <v>0</v>
      </c>
      <c r="L33" s="79"/>
      <c r="M33" s="79"/>
      <c r="N33" s="79"/>
      <c r="O33" s="79"/>
      <c r="P33" s="79"/>
      <c r="Q33" s="79"/>
      <c r="R33" s="79"/>
    </row>
    <row r="34" spans="1:18" ht="14.15" customHeight="1" x14ac:dyDescent="0.35">
      <c r="A34" s="79"/>
      <c r="B34" s="102" t="s">
        <v>67</v>
      </c>
      <c r="C34" s="103" t="s">
        <v>36</v>
      </c>
      <c r="D34" s="75">
        <v>150</v>
      </c>
      <c r="E34" s="86">
        <f t="shared" ca="1" si="10"/>
        <v>850</v>
      </c>
      <c r="F34" s="20">
        <v>5.83</v>
      </c>
      <c r="G34" s="126">
        <f t="shared" si="11"/>
        <v>874.5</v>
      </c>
      <c r="H34" s="126">
        <f t="shared" ca="1" si="12"/>
        <v>4955.5</v>
      </c>
      <c r="I34" s="128">
        <f t="shared" si="13"/>
        <v>2.1091671152162066</v>
      </c>
      <c r="J34" s="128">
        <f t="shared" ca="1" si="14"/>
        <v>2.0186361438748954</v>
      </c>
      <c r="K34" s="23">
        <v>2</v>
      </c>
      <c r="L34" s="79"/>
      <c r="M34" s="79"/>
      <c r="N34" s="79"/>
      <c r="O34" s="79"/>
      <c r="P34" s="79"/>
      <c r="Q34" s="79"/>
      <c r="R34" s="79"/>
    </row>
    <row r="35" spans="1:18" ht="14.15" customHeight="1" x14ac:dyDescent="0.35">
      <c r="A35" s="79"/>
      <c r="B35" s="102" t="s">
        <v>68</v>
      </c>
      <c r="C35" s="103" t="s">
        <v>18</v>
      </c>
      <c r="D35" s="75">
        <v>150</v>
      </c>
      <c r="E35" s="86">
        <f t="shared" ca="1" si="10"/>
        <v>675</v>
      </c>
      <c r="F35" s="20">
        <v>5.83</v>
      </c>
      <c r="G35" s="126">
        <f t="shared" si="11"/>
        <v>874.5</v>
      </c>
      <c r="H35" s="126">
        <f t="shared" ca="1" si="12"/>
        <v>3935.25</v>
      </c>
      <c r="I35" s="128">
        <f t="shared" si="13"/>
        <v>2.1091671152162066</v>
      </c>
      <c r="J35" s="128">
        <f t="shared" ca="1" si="14"/>
        <v>1.6030345848418288</v>
      </c>
      <c r="K35" s="23">
        <v>1</v>
      </c>
      <c r="L35" s="79"/>
      <c r="M35" s="79"/>
      <c r="N35" s="79"/>
      <c r="O35" s="79"/>
      <c r="P35" s="79"/>
      <c r="Q35" s="79"/>
      <c r="R35" s="79"/>
    </row>
    <row r="36" spans="1:18" ht="14.15" customHeight="1" x14ac:dyDescent="0.35">
      <c r="A36" s="79"/>
      <c r="B36" s="102" t="s">
        <v>69</v>
      </c>
      <c r="C36" s="103" t="s">
        <v>18</v>
      </c>
      <c r="D36" s="75"/>
      <c r="E36" s="86">
        <f t="shared" ca="1" si="10"/>
        <v>25</v>
      </c>
      <c r="F36" s="20">
        <v>5.83</v>
      </c>
      <c r="G36" s="126">
        <f t="shared" si="11"/>
        <v>0</v>
      </c>
      <c r="H36" s="126">
        <f t="shared" ca="1" si="12"/>
        <v>145.75</v>
      </c>
      <c r="I36" s="128">
        <f t="shared" si="13"/>
        <v>0</v>
      </c>
      <c r="J36" s="128">
        <f t="shared" ca="1" si="14"/>
        <v>5.9371651290438095E-2</v>
      </c>
      <c r="K36" s="23">
        <v>1</v>
      </c>
      <c r="L36" s="79"/>
      <c r="M36" s="79"/>
      <c r="N36" s="79"/>
      <c r="O36" s="79"/>
      <c r="P36" s="79"/>
      <c r="Q36" s="79"/>
      <c r="R36" s="79"/>
    </row>
    <row r="37" spans="1:18" ht="8.25" customHeight="1" x14ac:dyDescent="0.3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R37" s="79"/>
    </row>
    <row r="38" spans="1:18" ht="14.5" x14ac:dyDescent="0.35">
      <c r="A38" s="79"/>
      <c r="B38" s="82" t="s">
        <v>70</v>
      </c>
      <c r="C38" s="82"/>
      <c r="D38" s="82" t="s">
        <v>5</v>
      </c>
      <c r="E38" s="82"/>
      <c r="F38" s="82" t="s">
        <v>71</v>
      </c>
      <c r="G38" s="82"/>
      <c r="H38" s="82"/>
      <c r="I38" s="82" t="s">
        <v>72</v>
      </c>
      <c r="J38" s="82"/>
      <c r="K38" s="82"/>
      <c r="L38" s="108"/>
      <c r="M38" s="108"/>
      <c r="N38" s="108"/>
      <c r="O38" s="108"/>
      <c r="P38" s="108"/>
      <c r="Q38" s="108"/>
      <c r="R38" s="79"/>
    </row>
    <row r="39" spans="1:18" ht="15.75" customHeight="1" x14ac:dyDescent="0.35">
      <c r="A39" s="79"/>
      <c r="B39" s="10"/>
      <c r="C39" s="10"/>
      <c r="D39" s="10" t="s">
        <v>12</v>
      </c>
      <c r="E39" s="10" t="s">
        <v>13</v>
      </c>
      <c r="F39" s="10" t="s">
        <v>14</v>
      </c>
      <c r="G39" s="10" t="s">
        <v>0</v>
      </c>
      <c r="H39" s="10" t="s">
        <v>13</v>
      </c>
      <c r="I39" s="10" t="s">
        <v>0</v>
      </c>
      <c r="J39" s="10" t="s">
        <v>13</v>
      </c>
      <c r="K39" s="10" t="s">
        <v>15</v>
      </c>
      <c r="L39" s="79"/>
      <c r="M39" s="79"/>
      <c r="N39" s="79"/>
      <c r="O39" s="79"/>
      <c r="P39" s="79"/>
      <c r="Q39" s="79"/>
      <c r="R39" s="79"/>
    </row>
    <row r="40" spans="1:18" ht="12.75" customHeight="1" x14ac:dyDescent="0.35">
      <c r="A40" s="79"/>
      <c r="B40" s="88" t="s">
        <v>29</v>
      </c>
      <c r="C40" s="89" t="s">
        <v>18</v>
      </c>
      <c r="D40" s="125">
        <v>275</v>
      </c>
      <c r="E40" s="86">
        <f t="shared" ref="E40:E53" ca="1" si="15">INDIRECT("'" &amp; $S$2 &amp; "'!E" &amp; ROW()) + D40</f>
        <v>1625</v>
      </c>
      <c r="F40" s="20">
        <v>5.83</v>
      </c>
      <c r="G40" s="126">
        <f t="shared" ref="G40:G53" si="16">D40*F40</f>
        <v>1603.25</v>
      </c>
      <c r="H40" s="126">
        <f t="shared" ref="H40:H53" ca="1" si="17">INDIRECT("'" &amp; $S$2 &amp; "'!H" &amp; ROW()) + G40</f>
        <v>9473.75</v>
      </c>
      <c r="I40" s="127">
        <f t="shared" ref="I40:I53" si="18">IF($N$16=0,0,D40/$N$16*1000)</f>
        <v>3.8668063778963786</v>
      </c>
      <c r="J40" s="127">
        <f t="shared" ref="J40:J53" ca="1" si="19">IF($O$16=0,0,E40/$O$16*1000)</f>
        <v>3.8591573338784761</v>
      </c>
      <c r="K40" s="55">
        <v>6</v>
      </c>
      <c r="L40" s="79"/>
      <c r="M40" s="79"/>
      <c r="N40" s="79"/>
      <c r="O40" s="79"/>
      <c r="P40" s="79"/>
      <c r="Q40" s="79"/>
      <c r="R40" s="79"/>
    </row>
    <row r="41" spans="1:18" ht="12.75" customHeight="1" x14ac:dyDescent="0.35">
      <c r="A41" s="79"/>
      <c r="B41" s="74" t="s">
        <v>73</v>
      </c>
      <c r="C41" s="92" t="s">
        <v>18</v>
      </c>
      <c r="D41" s="125">
        <v>200</v>
      </c>
      <c r="E41" s="86">
        <f t="shared" ca="1" si="15"/>
        <v>1100</v>
      </c>
      <c r="F41" s="20">
        <v>37.840000000000003</v>
      </c>
      <c r="G41" s="126">
        <f t="shared" si="16"/>
        <v>7568.0000000000009</v>
      </c>
      <c r="H41" s="126">
        <f t="shared" ca="1" si="17"/>
        <v>41624.000000000007</v>
      </c>
      <c r="I41" s="127">
        <f t="shared" si="18"/>
        <v>2.8122228202882753</v>
      </c>
      <c r="J41" s="127">
        <f t="shared" ca="1" si="19"/>
        <v>2.6123526567792763</v>
      </c>
      <c r="K41" s="55">
        <v>3</v>
      </c>
      <c r="L41" s="79"/>
      <c r="M41" s="79"/>
      <c r="N41" s="79"/>
      <c r="O41" s="79"/>
      <c r="P41" s="79"/>
      <c r="Q41" s="79"/>
      <c r="R41" s="79"/>
    </row>
    <row r="42" spans="1:18" ht="12.75" customHeight="1" x14ac:dyDescent="0.35">
      <c r="A42" s="79"/>
      <c r="B42" s="74" t="s">
        <v>74</v>
      </c>
      <c r="C42" s="92" t="s">
        <v>18</v>
      </c>
      <c r="D42" s="125"/>
      <c r="E42" s="86">
        <f t="shared" ca="1" si="15"/>
        <v>88.5</v>
      </c>
      <c r="F42" s="20">
        <v>21</v>
      </c>
      <c r="G42" s="126">
        <f t="shared" si="16"/>
        <v>0</v>
      </c>
      <c r="H42" s="126">
        <f t="shared" ca="1" si="17"/>
        <v>1858.5</v>
      </c>
      <c r="I42" s="127">
        <f t="shared" si="18"/>
        <v>0</v>
      </c>
      <c r="J42" s="127">
        <f t="shared" ca="1" si="19"/>
        <v>0.21017564556815085</v>
      </c>
      <c r="K42" s="55">
        <v>0.35</v>
      </c>
      <c r="L42" s="79"/>
      <c r="M42" s="129"/>
      <c r="N42" s="79"/>
      <c r="O42" s="79"/>
      <c r="P42" s="79"/>
      <c r="Q42" s="79"/>
      <c r="R42" s="79"/>
    </row>
    <row r="43" spans="1:18" ht="12.75" customHeight="1" x14ac:dyDescent="0.35">
      <c r="A43" s="79"/>
      <c r="B43" s="74" t="s">
        <v>75</v>
      </c>
      <c r="C43" s="92" t="s">
        <v>18</v>
      </c>
      <c r="D43" s="125">
        <v>180</v>
      </c>
      <c r="E43" s="86">
        <f t="shared" ca="1" si="15"/>
        <v>2355</v>
      </c>
      <c r="F43" s="20">
        <v>2.9</v>
      </c>
      <c r="G43" s="126">
        <f t="shared" si="16"/>
        <v>522</v>
      </c>
      <c r="H43" s="126">
        <f t="shared" ca="1" si="17"/>
        <v>6829.5</v>
      </c>
      <c r="I43" s="127">
        <f t="shared" si="18"/>
        <v>2.5310005382594483</v>
      </c>
      <c r="J43" s="127">
        <f t="shared" ca="1" si="19"/>
        <v>5.5928095515592684</v>
      </c>
      <c r="K43" s="55">
        <v>7</v>
      </c>
      <c r="L43" s="79"/>
      <c r="M43" s="129"/>
      <c r="N43" s="79"/>
      <c r="O43" s="79"/>
      <c r="P43" s="79"/>
      <c r="Q43" s="79"/>
      <c r="R43" s="79"/>
    </row>
    <row r="44" spans="1:18" ht="12.75" customHeight="1" x14ac:dyDescent="0.35">
      <c r="A44" s="79"/>
      <c r="B44" s="74" t="s">
        <v>76</v>
      </c>
      <c r="C44" s="92" t="s">
        <v>18</v>
      </c>
      <c r="D44" s="125">
        <v>20</v>
      </c>
      <c r="E44" s="86">
        <f t="shared" ca="1" si="15"/>
        <v>150</v>
      </c>
      <c r="F44" s="20">
        <v>24</v>
      </c>
      <c r="G44" s="126">
        <f t="shared" si="16"/>
        <v>480</v>
      </c>
      <c r="H44" s="126">
        <f t="shared" ca="1" si="17"/>
        <v>3600</v>
      </c>
      <c r="I44" s="127">
        <f t="shared" si="18"/>
        <v>0.28122228202882754</v>
      </c>
      <c r="J44" s="127">
        <f t="shared" ca="1" si="19"/>
        <v>0.35622990774262858</v>
      </c>
      <c r="K44" s="55">
        <v>0.3</v>
      </c>
      <c r="L44" s="79"/>
      <c r="M44" s="129"/>
      <c r="N44" s="79"/>
      <c r="O44" s="79"/>
      <c r="P44" s="79"/>
      <c r="Q44" s="79"/>
      <c r="R44" s="79"/>
    </row>
    <row r="45" spans="1:18" ht="12.75" customHeight="1" x14ac:dyDescent="0.35">
      <c r="A45" s="79"/>
      <c r="B45" s="74" t="s">
        <v>77</v>
      </c>
      <c r="C45" s="92" t="s">
        <v>18</v>
      </c>
      <c r="D45" s="125">
        <v>477.71</v>
      </c>
      <c r="E45" s="86">
        <f t="shared" ca="1" si="15"/>
        <v>8825.0199999999986</v>
      </c>
      <c r="F45" s="20">
        <v>0.64</v>
      </c>
      <c r="G45" s="126">
        <f t="shared" si="16"/>
        <v>305.73439999999999</v>
      </c>
      <c r="H45" s="126">
        <f t="shared" ca="1" si="17"/>
        <v>5648.0128000000004</v>
      </c>
      <c r="I45" s="127">
        <f t="shared" si="18"/>
        <v>6.7171348173995602</v>
      </c>
      <c r="J45" s="127">
        <f t="shared" ca="1" si="19"/>
        <v>20.958240402845675</v>
      </c>
      <c r="K45" s="55">
        <v>12</v>
      </c>
      <c r="L45" s="79"/>
      <c r="M45" s="129"/>
      <c r="N45" s="79"/>
      <c r="O45" s="79"/>
      <c r="P45" s="79"/>
      <c r="Q45" s="79"/>
      <c r="R45" s="79"/>
    </row>
    <row r="46" spans="1:18" ht="12.75" customHeight="1" x14ac:dyDescent="0.35">
      <c r="A46" s="79"/>
      <c r="B46" s="74" t="s">
        <v>78</v>
      </c>
      <c r="C46" s="92" t="s">
        <v>18</v>
      </c>
      <c r="D46" s="125">
        <v>15</v>
      </c>
      <c r="E46" s="86">
        <f t="shared" ca="1" si="15"/>
        <v>97</v>
      </c>
      <c r="F46" s="20">
        <v>24</v>
      </c>
      <c r="G46" s="126">
        <f t="shared" si="16"/>
        <v>360</v>
      </c>
      <c r="H46" s="126">
        <f t="shared" ca="1" si="17"/>
        <v>2328</v>
      </c>
      <c r="I46" s="127">
        <f t="shared" si="18"/>
        <v>0.21091671152162067</v>
      </c>
      <c r="J46" s="127">
        <f t="shared" ca="1" si="19"/>
        <v>0.23036200700689982</v>
      </c>
      <c r="K46" s="55">
        <v>0.4</v>
      </c>
      <c r="L46" s="79"/>
      <c r="M46" s="129"/>
      <c r="N46" s="79"/>
      <c r="O46" s="79"/>
      <c r="P46" s="79"/>
      <c r="Q46" s="79"/>
      <c r="R46" s="79"/>
    </row>
    <row r="47" spans="1:18" ht="12.75" customHeight="1" x14ac:dyDescent="0.35">
      <c r="A47" s="79"/>
      <c r="B47" s="74" t="s">
        <v>79</v>
      </c>
      <c r="C47" s="92" t="s">
        <v>18</v>
      </c>
      <c r="D47" s="125">
        <v>50</v>
      </c>
      <c r="E47" s="86">
        <f t="shared" ca="1" si="15"/>
        <v>72</v>
      </c>
      <c r="F47" s="20">
        <v>41.96</v>
      </c>
      <c r="G47" s="126">
        <f t="shared" si="16"/>
        <v>2098</v>
      </c>
      <c r="H47" s="126">
        <f t="shared" ca="1" si="17"/>
        <v>3021.12</v>
      </c>
      <c r="I47" s="127">
        <f t="shared" si="18"/>
        <v>0.70305570507206883</v>
      </c>
      <c r="J47" s="127">
        <f t="shared" ca="1" si="19"/>
        <v>0.17099035571646173</v>
      </c>
      <c r="K47" s="55">
        <v>0.2</v>
      </c>
      <c r="L47" s="79"/>
      <c r="M47" s="129"/>
      <c r="N47" s="79"/>
      <c r="O47" s="79"/>
      <c r="P47" s="79"/>
      <c r="Q47" s="79"/>
      <c r="R47" s="79"/>
    </row>
    <row r="48" spans="1:18" ht="12.75" customHeight="1" x14ac:dyDescent="0.35">
      <c r="B48" s="74" t="s">
        <v>80</v>
      </c>
      <c r="C48" s="92" t="s">
        <v>18</v>
      </c>
      <c r="D48" s="125">
        <v>152.78</v>
      </c>
      <c r="E48" s="86">
        <f t="shared" ca="1" si="15"/>
        <v>898.88</v>
      </c>
      <c r="F48" s="20">
        <v>23.51</v>
      </c>
      <c r="G48" s="126">
        <f t="shared" si="16"/>
        <v>3591.8578000000002</v>
      </c>
      <c r="H48" s="126">
        <f t="shared" ca="1" si="17"/>
        <v>21132.668800000003</v>
      </c>
      <c r="I48" s="127">
        <f t="shared" si="18"/>
        <v>2.1482570124182137</v>
      </c>
      <c r="J48" s="127">
        <f t="shared" ca="1" si="19"/>
        <v>2.1347195964779599</v>
      </c>
      <c r="K48" s="55">
        <v>2</v>
      </c>
      <c r="M48" s="129"/>
    </row>
    <row r="49" spans="2:13" ht="12.75" customHeight="1" x14ac:dyDescent="0.35">
      <c r="B49" s="74" t="s">
        <v>81</v>
      </c>
      <c r="C49" s="92" t="s">
        <v>18</v>
      </c>
      <c r="D49" s="125">
        <v>50</v>
      </c>
      <c r="E49" s="86">
        <f t="shared" ca="1" si="15"/>
        <v>50</v>
      </c>
      <c r="F49" s="20">
        <v>41.96</v>
      </c>
      <c r="G49" s="126">
        <f t="shared" si="16"/>
        <v>2098</v>
      </c>
      <c r="H49" s="126">
        <f t="shared" ca="1" si="17"/>
        <v>2098</v>
      </c>
      <c r="I49" s="127">
        <f t="shared" si="18"/>
        <v>0.70305570507206883</v>
      </c>
      <c r="J49" s="127">
        <f t="shared" ca="1" si="19"/>
        <v>0.11874330258087619</v>
      </c>
      <c r="K49" s="55">
        <v>0.5</v>
      </c>
      <c r="M49" s="129"/>
    </row>
    <row r="50" spans="2:13" ht="12.75" customHeight="1" x14ac:dyDescent="0.35">
      <c r="B50" s="74" t="s">
        <v>82</v>
      </c>
      <c r="C50" s="130" t="s">
        <v>18</v>
      </c>
      <c r="D50" s="125">
        <v>13.95</v>
      </c>
      <c r="E50" s="86">
        <f t="shared" ca="1" si="15"/>
        <v>97.960000000000008</v>
      </c>
      <c r="F50" s="20">
        <v>43.43</v>
      </c>
      <c r="G50" s="126">
        <f t="shared" si="16"/>
        <v>605.84849999999994</v>
      </c>
      <c r="H50" s="126">
        <f t="shared" ca="1" si="17"/>
        <v>4254.4027999999998</v>
      </c>
      <c r="I50" s="127">
        <f t="shared" si="18"/>
        <v>0.19615254171510721</v>
      </c>
      <c r="J50" s="126">
        <f t="shared" ca="1" si="19"/>
        <v>0.23264187841645265</v>
      </c>
      <c r="K50" s="55">
        <v>0.05</v>
      </c>
    </row>
    <row r="51" spans="2:13" ht="12.75" customHeight="1" x14ac:dyDescent="0.35">
      <c r="B51" s="74" t="s">
        <v>63</v>
      </c>
      <c r="C51" s="89" t="s">
        <v>18</v>
      </c>
      <c r="D51" s="75"/>
      <c r="E51" s="86">
        <f t="shared" ca="1" si="15"/>
        <v>9915.130000000001</v>
      </c>
      <c r="F51" s="76">
        <v>1.03</v>
      </c>
      <c r="G51" s="126">
        <f t="shared" si="16"/>
        <v>0</v>
      </c>
      <c r="H51" s="126">
        <f t="shared" ca="1" si="17"/>
        <v>10212.583900000001</v>
      </c>
      <c r="I51" s="127">
        <f t="shared" si="18"/>
        <v>0</v>
      </c>
      <c r="J51" s="126">
        <f t="shared" ca="1" si="19"/>
        <v>23.547105634374461</v>
      </c>
      <c r="K51" s="55">
        <v>0</v>
      </c>
    </row>
    <row r="52" spans="2:13" ht="12.75" customHeight="1" x14ac:dyDescent="0.35">
      <c r="B52" s="74" t="s">
        <v>83</v>
      </c>
      <c r="C52" s="28" t="s">
        <v>36</v>
      </c>
      <c r="D52" s="75"/>
      <c r="E52" s="86">
        <f t="shared" ca="1" si="15"/>
        <v>0</v>
      </c>
      <c r="F52" s="76">
        <v>26.1</v>
      </c>
      <c r="G52" s="20">
        <f t="shared" si="16"/>
        <v>0</v>
      </c>
      <c r="H52" s="126">
        <f t="shared" ca="1" si="17"/>
        <v>0</v>
      </c>
      <c r="I52" s="127">
        <f t="shared" si="18"/>
        <v>0</v>
      </c>
      <c r="J52" s="126">
        <f t="shared" ca="1" si="19"/>
        <v>0</v>
      </c>
      <c r="K52" s="23">
        <v>2.5</v>
      </c>
    </row>
    <row r="53" spans="2:13" ht="12.75" customHeight="1" x14ac:dyDescent="0.35">
      <c r="B53" s="74" t="s">
        <v>91</v>
      </c>
      <c r="C53" s="28" t="s">
        <v>36</v>
      </c>
      <c r="D53" s="75">
        <v>7.72</v>
      </c>
      <c r="E53" s="86">
        <f t="shared" ca="1" si="15"/>
        <v>69.989999999999995</v>
      </c>
      <c r="F53" s="76">
        <v>26.42</v>
      </c>
      <c r="G53" s="131">
        <f t="shared" si="16"/>
        <v>203.9624</v>
      </c>
      <c r="H53" s="126">
        <f t="shared" ca="1" si="17"/>
        <v>1849.1358</v>
      </c>
      <c r="I53" s="127">
        <f t="shared" si="18"/>
        <v>0.10855180086312742</v>
      </c>
      <c r="J53" s="126">
        <f t="shared" ca="1" si="19"/>
        <v>0.16621687495271051</v>
      </c>
      <c r="K53" s="23">
        <v>0.3</v>
      </c>
    </row>
  </sheetData>
  <mergeCells count="7">
    <mergeCell ref="F16:H16"/>
    <mergeCell ref="I16:J16"/>
    <mergeCell ref="E2:P2"/>
    <mergeCell ref="C3:G3"/>
    <mergeCell ref="D4:E4"/>
    <mergeCell ref="F4:H4"/>
    <mergeCell ref="I4:J4"/>
  </mergeCells>
  <printOptions horizontalCentered="1" verticalCentered="1"/>
  <pageMargins left="0" right="0" top="0" bottom="0" header="0.511811023622047" footer="0.511811023622047"/>
  <pageSetup paperSize="9" scale="8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53"/>
  <sheetViews>
    <sheetView showGridLines="0" zoomScaleNormal="100" workbookViewId="0">
      <selection activeCell="M40" sqref="M40"/>
    </sheetView>
  </sheetViews>
  <sheetFormatPr defaultColWidth="9.1796875" defaultRowHeight="15" customHeight="1" x14ac:dyDescent="0.35"/>
  <cols>
    <col min="1" max="1" width="1.81640625" style="78" customWidth="1"/>
    <col min="2" max="2" width="21.54296875" style="78" customWidth="1"/>
    <col min="3" max="3" width="3.54296875" style="78" customWidth="1"/>
    <col min="4" max="4" width="10.453125" style="78" customWidth="1"/>
    <col min="5" max="5" width="7.7265625" style="78" customWidth="1"/>
    <col min="6" max="6" width="12" style="78" customWidth="1"/>
    <col min="7" max="7" width="9.453125" style="78" customWidth="1"/>
    <col min="8" max="8" width="9.81640625" style="78" customWidth="1"/>
    <col min="9" max="9" width="9.26953125" style="78" customWidth="1"/>
    <col min="10" max="10" width="7.54296875" style="78" customWidth="1"/>
    <col min="11" max="11" width="6.54296875" style="78" customWidth="1"/>
    <col min="12" max="12" width="5.453125" style="78" customWidth="1"/>
    <col min="13" max="13" width="22.7265625" style="78" customWidth="1"/>
    <col min="14" max="14" width="13.453125" style="78" customWidth="1"/>
    <col min="15" max="15" width="13.81640625" style="78" customWidth="1"/>
    <col min="16" max="16" width="13.54296875" style="78" customWidth="1"/>
    <col min="17" max="17" width="10.26953125" style="78" customWidth="1"/>
    <col min="18" max="1024" width="9.08984375" style="78"/>
  </cols>
  <sheetData>
    <row r="1" spans="1:19" ht="7.5" customHeight="1" x14ac:dyDescent="0.35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9" ht="20.25" customHeight="1" x14ac:dyDescent="0.35">
      <c r="A2" s="79"/>
      <c r="B2" s="80" t="s">
        <v>0</v>
      </c>
      <c r="C2" s="79"/>
      <c r="D2" s="79"/>
      <c r="E2" s="137" t="s">
        <v>1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79"/>
      <c r="R2" s="79"/>
      <c r="S2" s="78" t="s">
        <v>100</v>
      </c>
    </row>
    <row r="3" spans="1:19" ht="10.5" customHeight="1" x14ac:dyDescent="0.35">
      <c r="A3" s="79"/>
      <c r="B3" s="81">
        <v>8</v>
      </c>
      <c r="C3" s="138" t="s">
        <v>101</v>
      </c>
      <c r="D3" s="138"/>
      <c r="E3" s="138"/>
      <c r="F3" s="138"/>
      <c r="G3" s="13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 spans="1:19" ht="14.5" x14ac:dyDescent="0.35">
      <c r="A4" s="79"/>
      <c r="B4" s="82" t="s">
        <v>3</v>
      </c>
      <c r="C4" s="82"/>
      <c r="D4" s="136" t="s">
        <v>5</v>
      </c>
      <c r="E4" s="136"/>
      <c r="F4" s="136" t="s">
        <v>6</v>
      </c>
      <c r="G4" s="136"/>
      <c r="H4" s="136"/>
      <c r="I4" s="136" t="s">
        <v>7</v>
      </c>
      <c r="J4" s="136"/>
      <c r="K4" s="82"/>
      <c r="L4" s="82"/>
      <c r="M4" s="82" t="s">
        <v>8</v>
      </c>
      <c r="N4" s="83" t="s">
        <v>9</v>
      </c>
      <c r="O4" s="83" t="s">
        <v>10</v>
      </c>
      <c r="P4" s="83" t="s">
        <v>11</v>
      </c>
      <c r="Q4" s="84"/>
      <c r="R4" s="79"/>
    </row>
    <row r="5" spans="1:19" ht="14.5" x14ac:dyDescent="0.35">
      <c r="A5" s="79"/>
      <c r="B5" s="10"/>
      <c r="C5" s="10"/>
      <c r="D5" s="10" t="s">
        <v>12</v>
      </c>
      <c r="E5" s="10" t="s">
        <v>13</v>
      </c>
      <c r="F5" s="10" t="s">
        <v>14</v>
      </c>
      <c r="G5" s="10" t="s">
        <v>0</v>
      </c>
      <c r="H5" s="10" t="s">
        <v>13</v>
      </c>
      <c r="I5" s="10" t="s">
        <v>0</v>
      </c>
      <c r="J5" s="10" t="s">
        <v>13</v>
      </c>
      <c r="K5" s="10" t="s">
        <v>15</v>
      </c>
      <c r="L5" s="79"/>
      <c r="M5" s="43" t="s">
        <v>16</v>
      </c>
      <c r="N5" s="85">
        <v>108415</v>
      </c>
      <c r="O5" s="86">
        <f ca="1">INDIRECT("'" &amp; $S$2 &amp; "'!O" &amp; ROW()) + N5</f>
        <v>605878</v>
      </c>
      <c r="P5" s="85">
        <v>474379</v>
      </c>
      <c r="Q5" s="87"/>
      <c r="R5" s="79"/>
    </row>
    <row r="6" spans="1:19" ht="14.15" customHeight="1" x14ac:dyDescent="0.35">
      <c r="A6" s="79"/>
      <c r="B6" s="88" t="s">
        <v>17</v>
      </c>
      <c r="C6" s="89" t="s">
        <v>18</v>
      </c>
      <c r="D6" s="125">
        <v>17153.7</v>
      </c>
      <c r="E6" s="86">
        <f t="shared" ref="E6:E14" ca="1" si="0">INDIRECT("'" &amp; $S$2 &amp; "'!E" &amp; ROW()) + D6</f>
        <v>98760.05</v>
      </c>
      <c r="F6" s="20">
        <v>8.6</v>
      </c>
      <c r="G6" s="126">
        <f t="shared" ref="G6:G14" si="1">F6*D6</f>
        <v>147521.82</v>
      </c>
      <c r="H6" s="126">
        <f t="shared" ref="H6:H14" ca="1" si="2">INDIRECT("'" &amp; $S$2 &amp; "'!H" &amp; ROW()) + G6</f>
        <v>568606.08159999992</v>
      </c>
      <c r="I6" s="127">
        <f>IF($N$9=0,0,D6/$N$9*1000)</f>
        <v>7.6701637752138581</v>
      </c>
      <c r="J6" s="127">
        <f ca="1">IF($O$9=0,0,E6/$O$9*1000)</f>
        <v>5.3287998988629255</v>
      </c>
      <c r="K6" s="23">
        <v>9.8000000000000007</v>
      </c>
      <c r="L6" s="79"/>
      <c r="M6" s="43" t="s">
        <v>19</v>
      </c>
      <c r="N6" s="85"/>
      <c r="O6" s="86">
        <f>'semana 1'!O6+N6</f>
        <v>0</v>
      </c>
      <c r="P6" s="85"/>
      <c r="R6" s="79"/>
    </row>
    <row r="7" spans="1:19" ht="14.15" customHeight="1" x14ac:dyDescent="0.35">
      <c r="A7" s="79"/>
      <c r="B7" s="74" t="s">
        <v>20</v>
      </c>
      <c r="C7" s="92" t="s">
        <v>18</v>
      </c>
      <c r="D7" s="125">
        <v>10</v>
      </c>
      <c r="E7" s="86">
        <f t="shared" ca="1" si="0"/>
        <v>130</v>
      </c>
      <c r="F7" s="20">
        <v>599</v>
      </c>
      <c r="G7" s="126">
        <f t="shared" si="1"/>
        <v>5990</v>
      </c>
      <c r="H7" s="126">
        <f t="shared" ca="1" si="2"/>
        <v>77870</v>
      </c>
      <c r="I7" s="128">
        <f t="shared" ref="I7:I14" si="3">IF($N$9=0,0,D7/$N$9*1000)*1000</f>
        <v>4.4714340201903138</v>
      </c>
      <c r="J7" s="128">
        <f t="shared" ref="J7:J14" ca="1" si="4">IF($O$9=0,0,E7/$O$9*1000)*1000</f>
        <v>7.0144151086616526</v>
      </c>
      <c r="K7" s="23">
        <v>6.8</v>
      </c>
      <c r="L7" s="79"/>
      <c r="M7" s="43" t="s">
        <v>21</v>
      </c>
      <c r="N7" s="85"/>
      <c r="O7" s="86">
        <f>'semana 1'!O7+N7</f>
        <v>0</v>
      </c>
      <c r="P7" s="85"/>
      <c r="Q7" s="87"/>
      <c r="R7" s="79"/>
    </row>
    <row r="8" spans="1:19" ht="14.15" customHeight="1" x14ac:dyDescent="0.35">
      <c r="A8" s="79"/>
      <c r="B8" s="74" t="s">
        <v>22</v>
      </c>
      <c r="C8" s="92" t="s">
        <v>18</v>
      </c>
      <c r="D8" s="125">
        <v>650</v>
      </c>
      <c r="E8" s="86">
        <f t="shared" ca="1" si="0"/>
        <v>11500</v>
      </c>
      <c r="F8" s="20">
        <v>15</v>
      </c>
      <c r="G8" s="126">
        <f t="shared" si="1"/>
        <v>9750</v>
      </c>
      <c r="H8" s="126">
        <f t="shared" ca="1" si="2"/>
        <v>165842.4</v>
      </c>
      <c r="I8" s="128">
        <f t="shared" si="3"/>
        <v>290.64321131237034</v>
      </c>
      <c r="J8" s="128">
        <f t="shared" ca="1" si="4"/>
        <v>620.50595192006938</v>
      </c>
      <c r="K8" s="23">
        <v>400</v>
      </c>
      <c r="L8" s="79"/>
      <c r="M8" s="49" t="s">
        <v>23</v>
      </c>
      <c r="N8" s="94">
        <v>2236419</v>
      </c>
      <c r="O8" s="86">
        <f ca="1">INDIRECT("'" &amp; $S$2 &amp; "'!O" &amp; ROW()) + N8</f>
        <v>18533263</v>
      </c>
      <c r="P8" s="94">
        <v>7198804</v>
      </c>
      <c r="Q8" s="87"/>
      <c r="R8" s="79"/>
    </row>
    <row r="9" spans="1:19" ht="14.15" customHeight="1" x14ac:dyDescent="0.35">
      <c r="A9" s="79"/>
      <c r="B9" s="74" t="s">
        <v>24</v>
      </c>
      <c r="C9" s="92" t="s">
        <v>18</v>
      </c>
      <c r="D9" s="125">
        <v>549.94000000000005</v>
      </c>
      <c r="E9" s="86">
        <f t="shared" ca="1" si="0"/>
        <v>6533.99</v>
      </c>
      <c r="F9" s="20">
        <v>25.15</v>
      </c>
      <c r="G9" s="126">
        <f t="shared" si="1"/>
        <v>13830.991</v>
      </c>
      <c r="H9" s="126">
        <f t="shared" ca="1" si="2"/>
        <v>164329.84849999999</v>
      </c>
      <c r="I9" s="128">
        <f t="shared" si="3"/>
        <v>245.90204250634608</v>
      </c>
      <c r="J9" s="128">
        <f t="shared" ca="1" si="4"/>
        <v>352.55475519880122</v>
      </c>
      <c r="K9" s="23">
        <v>200</v>
      </c>
      <c r="L9" s="79"/>
      <c r="M9" s="34" t="s">
        <v>25</v>
      </c>
      <c r="N9" s="95">
        <f>SUM(N7:N8)</f>
        <v>2236419</v>
      </c>
      <c r="O9" s="95">
        <f ca="1">SUM(O7:O8)</f>
        <v>18533263</v>
      </c>
      <c r="P9" s="96"/>
      <c r="Q9" s="97"/>
      <c r="R9" s="79"/>
    </row>
    <row r="10" spans="1:19" ht="14.15" customHeight="1" x14ac:dyDescent="0.35">
      <c r="A10" s="79"/>
      <c r="B10" s="74" t="s">
        <v>26</v>
      </c>
      <c r="C10" s="92" t="s">
        <v>18</v>
      </c>
      <c r="D10" s="125"/>
      <c r="E10" s="86">
        <f t="shared" ca="1" si="0"/>
        <v>150</v>
      </c>
      <c r="F10" s="20">
        <v>10.98</v>
      </c>
      <c r="G10" s="126">
        <f t="shared" si="1"/>
        <v>0</v>
      </c>
      <c r="H10" s="126">
        <f t="shared" ca="1" si="2"/>
        <v>1647</v>
      </c>
      <c r="I10" s="128">
        <f t="shared" si="3"/>
        <v>0</v>
      </c>
      <c r="J10" s="128">
        <f t="shared" ca="1" si="4"/>
        <v>8.0935558946096009</v>
      </c>
      <c r="K10" s="23">
        <v>10</v>
      </c>
      <c r="L10" s="79"/>
      <c r="M10" s="38" t="s">
        <v>27</v>
      </c>
      <c r="N10" s="98">
        <f>SUM(N5:N6)</f>
        <v>108415</v>
      </c>
      <c r="O10" s="98">
        <f ca="1">SUM(O5:O6)</f>
        <v>605878</v>
      </c>
      <c r="P10" s="99"/>
      <c r="Q10" s="100"/>
      <c r="R10" s="79"/>
    </row>
    <row r="11" spans="1:19" ht="14.15" customHeight="1" x14ac:dyDescent="0.35">
      <c r="A11" s="79"/>
      <c r="B11" s="74" t="s">
        <v>28</v>
      </c>
      <c r="C11" s="92" t="s">
        <v>18</v>
      </c>
      <c r="D11" s="125"/>
      <c r="E11" s="86">
        <f t="shared" ca="1" si="0"/>
        <v>2653.34</v>
      </c>
      <c r="F11" s="20">
        <v>4.13</v>
      </c>
      <c r="G11" s="126">
        <f t="shared" si="1"/>
        <v>0</v>
      </c>
      <c r="H11" s="126">
        <f t="shared" ca="1" si="2"/>
        <v>10958.2942</v>
      </c>
      <c r="I11" s="128">
        <f t="shared" si="3"/>
        <v>0</v>
      </c>
      <c r="J11" s="128">
        <f t="shared" ca="1" si="4"/>
        <v>143.16637064935625</v>
      </c>
      <c r="K11" s="23"/>
      <c r="L11" s="79"/>
      <c r="R11" s="79"/>
    </row>
    <row r="12" spans="1:19" ht="14.15" customHeight="1" x14ac:dyDescent="0.35">
      <c r="A12" s="79"/>
      <c r="B12" s="74" t="s">
        <v>29</v>
      </c>
      <c r="C12" s="92" t="s">
        <v>18</v>
      </c>
      <c r="D12" s="125">
        <v>1200</v>
      </c>
      <c r="E12" s="86">
        <f t="shared" ca="1" si="0"/>
        <v>6700</v>
      </c>
      <c r="F12" s="20">
        <v>5.83</v>
      </c>
      <c r="G12" s="126">
        <f t="shared" si="1"/>
        <v>6996</v>
      </c>
      <c r="H12" s="126">
        <f t="shared" ca="1" si="2"/>
        <v>39061</v>
      </c>
      <c r="I12" s="128">
        <f t="shared" si="3"/>
        <v>536.57208242283764</v>
      </c>
      <c r="J12" s="128">
        <f t="shared" ca="1" si="4"/>
        <v>361.51216329256215</v>
      </c>
      <c r="K12" s="23">
        <v>400</v>
      </c>
      <c r="L12" s="79"/>
      <c r="M12" s="56" t="s">
        <v>30</v>
      </c>
      <c r="N12" s="101"/>
      <c r="O12" s="101"/>
      <c r="P12" s="101"/>
      <c r="R12" s="79"/>
      <c r="S12" s="78">
        <v>10</v>
      </c>
    </row>
    <row r="13" spans="1:19" ht="14.15" customHeight="1" x14ac:dyDescent="0.35">
      <c r="A13" s="79"/>
      <c r="B13" s="74" t="s">
        <v>31</v>
      </c>
      <c r="C13" s="92" t="s">
        <v>18</v>
      </c>
      <c r="D13" s="125">
        <v>1821.12</v>
      </c>
      <c r="E13" s="86">
        <f t="shared" ca="1" si="0"/>
        <v>7713.369999999999</v>
      </c>
      <c r="F13" s="20">
        <v>6</v>
      </c>
      <c r="G13" s="126">
        <f t="shared" si="1"/>
        <v>10926.72</v>
      </c>
      <c r="H13" s="126">
        <f t="shared" ca="1" si="2"/>
        <v>46280.22</v>
      </c>
      <c r="I13" s="128">
        <f t="shared" si="3"/>
        <v>814.30179228489828</v>
      </c>
      <c r="J13" s="128">
        <f t="shared" ca="1" si="4"/>
        <v>416.19060820536561</v>
      </c>
      <c r="K13" s="23">
        <v>500</v>
      </c>
      <c r="L13" s="79"/>
      <c r="M13" s="43" t="s">
        <v>32</v>
      </c>
      <c r="N13" s="44" t="s">
        <v>0</v>
      </c>
      <c r="O13" s="44" t="s">
        <v>33</v>
      </c>
      <c r="P13" s="44" t="s">
        <v>34</v>
      </c>
      <c r="R13" s="79"/>
    </row>
    <row r="14" spans="1:19" ht="14.15" customHeight="1" x14ac:dyDescent="0.35">
      <c r="A14" s="79"/>
      <c r="B14" s="102" t="s">
        <v>35</v>
      </c>
      <c r="C14" s="103" t="s">
        <v>18</v>
      </c>
      <c r="D14" s="125">
        <v>15</v>
      </c>
      <c r="E14" s="86">
        <f t="shared" ca="1" si="0"/>
        <v>70</v>
      </c>
      <c r="F14" s="20">
        <v>425</v>
      </c>
      <c r="G14" s="126">
        <f t="shared" si="1"/>
        <v>6375</v>
      </c>
      <c r="H14" s="126">
        <f t="shared" ca="1" si="2"/>
        <v>29750</v>
      </c>
      <c r="I14" s="128">
        <f t="shared" si="3"/>
        <v>6.7071510302854698</v>
      </c>
      <c r="J14" s="128">
        <f t="shared" ca="1" si="4"/>
        <v>3.7769927508178136</v>
      </c>
      <c r="K14" s="23">
        <v>3</v>
      </c>
      <c r="L14" s="79"/>
      <c r="M14" s="43" t="s">
        <v>37</v>
      </c>
      <c r="N14" s="104">
        <v>25834.481</v>
      </c>
      <c r="O14" s="105">
        <f ca="1">INDIRECT("'" &amp; $S$2 &amp; "'!O" &amp; ROW()) + N14</f>
        <v>242111.52699999997</v>
      </c>
      <c r="P14" s="105">
        <v>109288.287</v>
      </c>
      <c r="R14" s="79"/>
    </row>
    <row r="15" spans="1:19" ht="14.5" x14ac:dyDescent="0.3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49" t="s">
        <v>38</v>
      </c>
      <c r="N15" s="107">
        <v>41861.599000000002</v>
      </c>
      <c r="O15" s="105">
        <f ca="1">INDIRECT("'" &amp; $S$2 &amp; "'!O" &amp; ROW()) + N15</f>
        <v>246660.93299999996</v>
      </c>
      <c r="P15" s="105">
        <v>211741.17300000001</v>
      </c>
      <c r="R15" s="79"/>
    </row>
    <row r="16" spans="1:19" ht="14.5" x14ac:dyDescent="0.35">
      <c r="A16" s="79"/>
      <c r="B16" s="82" t="s">
        <v>39</v>
      </c>
      <c r="C16" s="82"/>
      <c r="D16" s="82" t="s">
        <v>5</v>
      </c>
      <c r="E16" s="82"/>
      <c r="F16" s="136" t="s">
        <v>6</v>
      </c>
      <c r="G16" s="136"/>
      <c r="H16" s="136"/>
      <c r="I16" s="136" t="s">
        <v>40</v>
      </c>
      <c r="J16" s="136"/>
      <c r="K16" s="82"/>
      <c r="L16" s="108"/>
      <c r="M16" s="52" t="s">
        <v>41</v>
      </c>
      <c r="N16" s="109">
        <f>SUM(N14:N15)</f>
        <v>67696.08</v>
      </c>
      <c r="O16" s="109">
        <f ca="1">SUM(O14:O15)</f>
        <v>488772.45999999996</v>
      </c>
      <c r="P16" s="110">
        <f>P15+P14</f>
        <v>321029.46000000002</v>
      </c>
      <c r="Q16" s="108"/>
      <c r="R16" s="79"/>
    </row>
    <row r="17" spans="1:18" ht="14.5" x14ac:dyDescent="0.35">
      <c r="A17" s="79"/>
      <c r="B17" s="10"/>
      <c r="C17" s="10"/>
      <c r="D17" s="10" t="s">
        <v>12</v>
      </c>
      <c r="E17" s="10" t="s">
        <v>13</v>
      </c>
      <c r="F17" s="10" t="s">
        <v>14</v>
      </c>
      <c r="G17" s="10" t="s">
        <v>0</v>
      </c>
      <c r="H17" s="10" t="s">
        <v>13</v>
      </c>
      <c r="I17" s="10" t="s">
        <v>0</v>
      </c>
      <c r="J17" s="10" t="s">
        <v>13</v>
      </c>
      <c r="K17" s="10" t="s">
        <v>15</v>
      </c>
      <c r="L17" s="79"/>
      <c r="Q17" s="79"/>
      <c r="R17" s="79"/>
    </row>
    <row r="18" spans="1:18" ht="14.15" customHeight="1" x14ac:dyDescent="0.35">
      <c r="A18" s="79"/>
      <c r="B18" s="88" t="s">
        <v>42</v>
      </c>
      <c r="C18" s="89" t="s">
        <v>18</v>
      </c>
      <c r="D18" s="125">
        <v>309</v>
      </c>
      <c r="E18" s="86">
        <f t="shared" ref="E18:E27" ca="1" si="5">INDIRECT("'" &amp; $S$2 &amp; "'!E" &amp; ROW()) + D18</f>
        <v>2459</v>
      </c>
      <c r="F18" s="20">
        <v>21</v>
      </c>
      <c r="G18" s="126">
        <f t="shared" ref="G18:G27" si="6">D18*F18</f>
        <v>6489</v>
      </c>
      <c r="H18" s="126">
        <f t="shared" ref="H18:H27" ca="1" si="7">INDIRECT("'" &amp; $S$2 &amp; "'!H" &amp; ROW()) + G18</f>
        <v>51639</v>
      </c>
      <c r="I18" s="127">
        <f t="shared" ref="I18:I27" si="8">IF($N$10=0,0,D18/$N$16*1000)</f>
        <v>4.5645183591132596</v>
      </c>
      <c r="J18" s="127">
        <f t="shared" ref="J18:J27" ca="1" si="9">IF($O$10=0,0,E18/$O$16*1000)</f>
        <v>5.0309708529813655</v>
      </c>
      <c r="K18" s="55">
        <v>6.1</v>
      </c>
      <c r="L18" s="79"/>
      <c r="M18" s="56" t="s">
        <v>43</v>
      </c>
      <c r="N18" s="57" t="s">
        <v>0</v>
      </c>
      <c r="O18" s="57" t="s">
        <v>33</v>
      </c>
      <c r="Q18" s="79"/>
      <c r="R18" s="79"/>
    </row>
    <row r="19" spans="1:18" ht="14.15" customHeight="1" x14ac:dyDescent="0.35">
      <c r="A19" s="79"/>
      <c r="B19" s="74" t="s">
        <v>45</v>
      </c>
      <c r="C19" s="92" t="s">
        <v>18</v>
      </c>
      <c r="D19" s="125">
        <v>175</v>
      </c>
      <c r="E19" s="86">
        <f t="shared" ca="1" si="5"/>
        <v>2500</v>
      </c>
      <c r="F19" s="20">
        <v>15.63</v>
      </c>
      <c r="G19" s="126">
        <f t="shared" si="6"/>
        <v>2735.25</v>
      </c>
      <c r="H19" s="126">
        <f t="shared" ca="1" si="7"/>
        <v>39075</v>
      </c>
      <c r="I19" s="127">
        <f t="shared" si="8"/>
        <v>2.5850832130900341</v>
      </c>
      <c r="J19" s="127">
        <f t="shared" ca="1" si="9"/>
        <v>5.114854466227496</v>
      </c>
      <c r="K19" s="55">
        <v>9</v>
      </c>
      <c r="L19" s="79"/>
      <c r="M19" s="43" t="s">
        <v>46</v>
      </c>
      <c r="N19" s="58">
        <f>SUM(G6:G14)</f>
        <v>201390.53100000002</v>
      </c>
      <c r="O19" s="126">
        <f ca="1">INDIRECT("'" &amp; $S$2 &amp; "'!O" &amp; ROW()) + N19</f>
        <v>1104344.8443</v>
      </c>
      <c r="Q19" s="79"/>
      <c r="R19" s="79"/>
    </row>
    <row r="20" spans="1:18" ht="14.15" customHeight="1" x14ac:dyDescent="0.35">
      <c r="A20" s="79"/>
      <c r="B20" s="74" t="s">
        <v>47</v>
      </c>
      <c r="C20" s="92" t="s">
        <v>18</v>
      </c>
      <c r="D20" s="125"/>
      <c r="E20" s="86">
        <f t="shared" ca="1" si="5"/>
        <v>1000</v>
      </c>
      <c r="F20" s="20">
        <v>6.7</v>
      </c>
      <c r="G20" s="126">
        <f t="shared" si="6"/>
        <v>0</v>
      </c>
      <c r="H20" s="126">
        <f t="shared" ca="1" si="7"/>
        <v>6700</v>
      </c>
      <c r="I20" s="127">
        <f t="shared" si="8"/>
        <v>0</v>
      </c>
      <c r="J20" s="127">
        <f t="shared" ca="1" si="9"/>
        <v>2.0459417864909986</v>
      </c>
      <c r="K20" s="55">
        <v>51</v>
      </c>
      <c r="L20" s="79"/>
      <c r="M20" s="43" t="s">
        <v>48</v>
      </c>
      <c r="N20" s="58">
        <f>SUM(G18:G27)+G51</f>
        <v>55296.207699999999</v>
      </c>
      <c r="O20" s="126">
        <f ca="1">INDIRECT("'" &amp; $S$2 &amp; "'!O" &amp; ROW()) + N20</f>
        <v>495352.68940000003</v>
      </c>
      <c r="Q20" s="79"/>
      <c r="R20" s="79"/>
    </row>
    <row r="21" spans="1:18" ht="14.15" customHeight="1" x14ac:dyDescent="0.35">
      <c r="A21" s="79"/>
      <c r="B21" s="74" t="s">
        <v>49</v>
      </c>
      <c r="C21" s="92" t="s">
        <v>18</v>
      </c>
      <c r="D21" s="125"/>
      <c r="E21" s="86">
        <f t="shared" ca="1" si="5"/>
        <v>0</v>
      </c>
      <c r="F21" s="20">
        <v>5.85</v>
      </c>
      <c r="G21" s="126">
        <f t="shared" si="6"/>
        <v>0</v>
      </c>
      <c r="H21" s="126">
        <f t="shared" ca="1" si="7"/>
        <v>0</v>
      </c>
      <c r="I21" s="127">
        <f t="shared" si="8"/>
        <v>0</v>
      </c>
      <c r="J21" s="127">
        <f t="shared" ca="1" si="9"/>
        <v>0</v>
      </c>
      <c r="K21" s="55"/>
      <c r="L21" s="79"/>
      <c r="M21" s="43" t="s">
        <v>50</v>
      </c>
      <c r="N21" s="58">
        <f>SUM(G30:G37)</f>
        <v>8372.1805999999997</v>
      </c>
      <c r="O21" s="126">
        <f ca="1">INDIRECT("'" &amp; $S$2 &amp; "'!O" &amp; ROW()) + N21</f>
        <v>64470.739099999999</v>
      </c>
      <c r="Q21" s="79"/>
      <c r="R21" s="79"/>
    </row>
    <row r="22" spans="1:18" ht="14.15" customHeight="1" x14ac:dyDescent="0.35">
      <c r="A22" s="79"/>
      <c r="B22" s="74" t="s">
        <v>51</v>
      </c>
      <c r="C22" s="92" t="s">
        <v>18</v>
      </c>
      <c r="D22" s="125">
        <v>23203.3</v>
      </c>
      <c r="E22" s="86">
        <f t="shared" ca="1" si="5"/>
        <v>216966.09999999998</v>
      </c>
      <c r="F22" s="20">
        <v>1.03</v>
      </c>
      <c r="G22" s="126">
        <f t="shared" si="6"/>
        <v>23899.399000000001</v>
      </c>
      <c r="H22" s="126">
        <f t="shared" ca="1" si="7"/>
        <v>223475.08300000001</v>
      </c>
      <c r="I22" s="127">
        <f t="shared" si="8"/>
        <v>342.75692181881135</v>
      </c>
      <c r="J22" s="127">
        <f t="shared" ca="1" si="9"/>
        <v>443.90001024198455</v>
      </c>
      <c r="K22" s="55">
        <v>1000</v>
      </c>
      <c r="L22" s="79"/>
      <c r="M22" s="49" t="s">
        <v>52</v>
      </c>
      <c r="N22" s="58">
        <f>SUM(G40:G53)-G51</f>
        <v>23384.040399999998</v>
      </c>
      <c r="O22" s="126">
        <f ca="1">INDIRECT("'" &amp; $S$2 &amp; "'!O" &amp; ROW()) + N22</f>
        <v>129370.6738</v>
      </c>
      <c r="Q22" s="79"/>
      <c r="R22" s="79"/>
    </row>
    <row r="23" spans="1:18" ht="14.15" customHeight="1" x14ac:dyDescent="0.35">
      <c r="A23" s="79"/>
      <c r="B23" s="74" t="s">
        <v>29</v>
      </c>
      <c r="C23" s="92" t="s">
        <v>18</v>
      </c>
      <c r="D23" s="125">
        <v>450</v>
      </c>
      <c r="E23" s="86">
        <f t="shared" ca="1" si="5"/>
        <v>4475</v>
      </c>
      <c r="F23" s="20">
        <v>5.83</v>
      </c>
      <c r="G23" s="126">
        <f t="shared" si="6"/>
        <v>2623.5</v>
      </c>
      <c r="H23" s="126">
        <f t="shared" ca="1" si="7"/>
        <v>26089.25</v>
      </c>
      <c r="I23" s="127">
        <f t="shared" si="8"/>
        <v>6.6473568336600879</v>
      </c>
      <c r="J23" s="127">
        <f t="shared" ca="1" si="9"/>
        <v>9.1555894945472183</v>
      </c>
      <c r="K23" s="55">
        <v>13</v>
      </c>
      <c r="L23" s="79"/>
      <c r="M23" s="52" t="s">
        <v>53</v>
      </c>
      <c r="N23" s="112">
        <f>SUM(N19:N22)</f>
        <v>288442.95970000001</v>
      </c>
      <c r="O23" s="113">
        <f ca="1">SUM(O19:O22)</f>
        <v>1793538.9465999999</v>
      </c>
      <c r="Q23" s="79"/>
      <c r="R23" s="79"/>
    </row>
    <row r="24" spans="1:18" ht="14.15" customHeight="1" x14ac:dyDescent="0.35">
      <c r="A24" s="79"/>
      <c r="B24" s="74" t="s">
        <v>54</v>
      </c>
      <c r="C24" s="92" t="s">
        <v>18</v>
      </c>
      <c r="D24" s="125">
        <v>1355.57</v>
      </c>
      <c r="E24" s="86">
        <f t="shared" ca="1" si="5"/>
        <v>7911.0899999999992</v>
      </c>
      <c r="F24" s="20">
        <v>8</v>
      </c>
      <c r="G24" s="126">
        <f t="shared" si="6"/>
        <v>10844.56</v>
      </c>
      <c r="H24" s="126">
        <f t="shared" ca="1" si="7"/>
        <v>63288.719999999994</v>
      </c>
      <c r="I24" s="127">
        <f t="shared" si="8"/>
        <v>20.024350006676897</v>
      </c>
      <c r="J24" s="127">
        <f t="shared" ca="1" si="9"/>
        <v>16.18562960769107</v>
      </c>
      <c r="K24" s="55">
        <v>2.8</v>
      </c>
      <c r="L24" s="79"/>
      <c r="P24" s="79"/>
      <c r="Q24" s="79"/>
      <c r="R24" s="79"/>
    </row>
    <row r="25" spans="1:18" ht="14.15" customHeight="1" x14ac:dyDescent="0.35">
      <c r="A25" s="79"/>
      <c r="B25" s="74" t="s">
        <v>55</v>
      </c>
      <c r="C25" s="92" t="s">
        <v>18</v>
      </c>
      <c r="D25" s="125">
        <v>1100.01</v>
      </c>
      <c r="E25" s="86">
        <f t="shared" ca="1" si="5"/>
        <v>12798.83</v>
      </c>
      <c r="F25" s="20">
        <v>5.85</v>
      </c>
      <c r="G25" s="126">
        <f t="shared" si="6"/>
        <v>6435.0584999999992</v>
      </c>
      <c r="H25" s="126">
        <f t="shared" ca="1" si="7"/>
        <v>74873.155499999979</v>
      </c>
      <c r="I25" s="127">
        <f t="shared" si="8"/>
        <v>16.249242201320964</v>
      </c>
      <c r="J25" s="127">
        <f t="shared" ca="1" si="9"/>
        <v>26.185661115194584</v>
      </c>
      <c r="K25" s="55">
        <v>28</v>
      </c>
      <c r="L25" s="79"/>
      <c r="M25" s="56" t="s">
        <v>56</v>
      </c>
      <c r="N25" s="56" t="s">
        <v>9</v>
      </c>
      <c r="O25" s="56"/>
      <c r="P25" s="56" t="s">
        <v>10</v>
      </c>
      <c r="Q25" s="56"/>
      <c r="R25" s="79"/>
    </row>
    <row r="26" spans="1:18" ht="14.15" customHeight="1" x14ac:dyDescent="0.35">
      <c r="A26" s="79"/>
      <c r="B26" s="74" t="s">
        <v>58</v>
      </c>
      <c r="C26" s="103" t="s">
        <v>36</v>
      </c>
      <c r="D26" s="125"/>
      <c r="E26" s="86">
        <f t="shared" ca="1" si="5"/>
        <v>0</v>
      </c>
      <c r="F26" s="20">
        <v>6.98</v>
      </c>
      <c r="G26" s="126">
        <f t="shared" si="6"/>
        <v>0</v>
      </c>
      <c r="H26" s="126">
        <f t="shared" ca="1" si="7"/>
        <v>0</v>
      </c>
      <c r="I26" s="127">
        <f t="shared" si="8"/>
        <v>0</v>
      </c>
      <c r="J26" s="127">
        <f t="shared" ca="1" si="9"/>
        <v>0</v>
      </c>
      <c r="K26" s="55">
        <v>21.3</v>
      </c>
      <c r="L26" s="79"/>
      <c r="M26" s="43" t="s">
        <v>46</v>
      </c>
      <c r="N26" s="114">
        <f>IF($N$9=0,0,N19/$N$9*1000)</f>
        <v>90.050447165759209</v>
      </c>
      <c r="O26" s="44" t="s">
        <v>59</v>
      </c>
      <c r="P26" s="114">
        <f ca="1">IF($O$9=0,0,O19/$O$9*1000)</f>
        <v>59.587178161773238</v>
      </c>
      <c r="Q26" s="44" t="s">
        <v>59</v>
      </c>
      <c r="R26" s="79"/>
    </row>
    <row r="27" spans="1:18" ht="14.15" customHeight="1" x14ac:dyDescent="0.35">
      <c r="A27" s="79"/>
      <c r="B27" s="74" t="s">
        <v>86</v>
      </c>
      <c r="C27" s="103" t="s">
        <v>36</v>
      </c>
      <c r="D27" s="75"/>
      <c r="E27" s="86">
        <f t="shared" ca="1" si="5"/>
        <v>22.22</v>
      </c>
      <c r="F27" s="115"/>
      <c r="G27" s="126">
        <f t="shared" si="6"/>
        <v>0</v>
      </c>
      <c r="H27" s="126">
        <f t="shared" ca="1" si="7"/>
        <v>0</v>
      </c>
      <c r="I27" s="127">
        <f t="shared" si="8"/>
        <v>0</v>
      </c>
      <c r="J27" s="127">
        <f t="shared" ca="1" si="9"/>
        <v>4.5460826495829984E-2</v>
      </c>
      <c r="K27" s="55">
        <v>3.6</v>
      </c>
      <c r="L27" s="108"/>
      <c r="M27" s="43" t="s">
        <v>48</v>
      </c>
      <c r="N27" s="114">
        <f>IF($N$10=0,0,N20/$N$16)</f>
        <v>0.81683027584462786</v>
      </c>
      <c r="O27" s="44" t="s">
        <v>60</v>
      </c>
      <c r="P27" s="114">
        <f ca="1">IF($O$10=0,0,O20/$O$16)</f>
        <v>1.0134627662941567</v>
      </c>
      <c r="Q27" s="44" t="s">
        <v>60</v>
      </c>
    </row>
    <row r="28" spans="1:18" ht="14.5" x14ac:dyDescent="0.35">
      <c r="A28" s="79"/>
      <c r="B28" s="82" t="s">
        <v>62</v>
      </c>
      <c r="C28" s="82"/>
      <c r="D28" s="82" t="s">
        <v>5</v>
      </c>
      <c r="E28" s="82"/>
      <c r="F28" s="82" t="s">
        <v>6</v>
      </c>
      <c r="G28" s="82"/>
      <c r="H28" s="82"/>
      <c r="I28" s="82" t="s">
        <v>40</v>
      </c>
      <c r="J28" s="82"/>
      <c r="K28" s="82"/>
      <c r="L28" s="79"/>
      <c r="M28" s="43" t="s">
        <v>50</v>
      </c>
      <c r="N28" s="114">
        <f>IF($N$16=0,0,N21/$N$16)</f>
        <v>0.12367304872010314</v>
      </c>
      <c r="O28" s="44" t="s">
        <v>60</v>
      </c>
      <c r="P28" s="114">
        <f ca="1">IF($O$16=0,0,O21/$O$16)</f>
        <v>0.13190337913064906</v>
      </c>
      <c r="Q28" s="44" t="s">
        <v>60</v>
      </c>
    </row>
    <row r="29" spans="1:18" ht="14.5" x14ac:dyDescent="0.35">
      <c r="A29" s="79"/>
      <c r="B29" s="10"/>
      <c r="C29" s="10"/>
      <c r="D29" s="10" t="s">
        <v>12</v>
      </c>
      <c r="E29" s="10" t="s">
        <v>13</v>
      </c>
      <c r="F29" s="10" t="s">
        <v>14</v>
      </c>
      <c r="G29" s="10" t="s">
        <v>0</v>
      </c>
      <c r="H29" s="10" t="s">
        <v>13</v>
      </c>
      <c r="I29" s="10" t="s">
        <v>0</v>
      </c>
      <c r="J29" s="10" t="s">
        <v>13</v>
      </c>
      <c r="K29" s="10" t="s">
        <v>15</v>
      </c>
      <c r="L29" s="79"/>
      <c r="M29" s="49" t="s">
        <v>52</v>
      </c>
      <c r="N29" s="116">
        <f>IF($N$16=0,0,N22/$N$16)</f>
        <v>0.34542680167005235</v>
      </c>
      <c r="O29" s="117" t="s">
        <v>60</v>
      </c>
      <c r="P29" s="116">
        <f ca="1">IF($O$16=0,0,O22/$O$16)</f>
        <v>0.26468486747391623</v>
      </c>
      <c r="Q29" s="117" t="s">
        <v>60</v>
      </c>
    </row>
    <row r="30" spans="1:18" ht="14.15" customHeight="1" x14ac:dyDescent="0.35">
      <c r="A30" s="79"/>
      <c r="B30" s="88" t="s">
        <v>63</v>
      </c>
      <c r="C30" s="89" t="s">
        <v>18</v>
      </c>
      <c r="D30" s="125"/>
      <c r="E30" s="86">
        <f t="shared" ref="E30:E36" ca="1" si="10">INDIRECT("'" &amp; $S$2 &amp; "'!E" &amp; ROW()) + D30</f>
        <v>3305</v>
      </c>
      <c r="F30" s="20">
        <v>1.03</v>
      </c>
      <c r="G30" s="126">
        <f t="shared" ref="G30:G36" si="11">D30*F30</f>
        <v>0</v>
      </c>
      <c r="H30" s="126">
        <f t="shared" ref="H30:H36" ca="1" si="12">INDIRECT("'" &amp; $S$2 &amp; "'!H" &amp; ROW()) + G30</f>
        <v>3404.15</v>
      </c>
      <c r="I30" s="128">
        <f t="shared" ref="I30:I36" si="13">IF($N$16=0,0,D30/$N$16*1000)</f>
        <v>0</v>
      </c>
      <c r="J30" s="128">
        <f t="shared" ref="J30:J36" ca="1" si="14">IF($O$16=0,0,E30/$O$16*1000)</f>
        <v>6.7618376043527499</v>
      </c>
      <c r="K30" s="23">
        <v>0</v>
      </c>
      <c r="L30" s="79"/>
      <c r="M30" s="52" t="s">
        <v>64</v>
      </c>
      <c r="N30" s="119">
        <f>IF($N$16=0,0,N23/$N$16)</f>
        <v>4.2608517317398586</v>
      </c>
      <c r="O30" s="120" t="s">
        <v>60</v>
      </c>
      <c r="P30" s="119">
        <f ca="1">IF($O$16=0,0,O23/$O$16)</f>
        <v>3.6694762765479871</v>
      </c>
      <c r="Q30" s="121" t="s">
        <v>60</v>
      </c>
    </row>
    <row r="31" spans="1:18" ht="14.15" customHeight="1" x14ac:dyDescent="0.35">
      <c r="A31" s="79"/>
      <c r="B31" s="74" t="s">
        <v>29</v>
      </c>
      <c r="C31" s="92" t="s">
        <v>18</v>
      </c>
      <c r="D31" s="125">
        <v>25</v>
      </c>
      <c r="E31" s="86">
        <f t="shared" ca="1" si="10"/>
        <v>275</v>
      </c>
      <c r="F31" s="20">
        <v>5.83</v>
      </c>
      <c r="G31" s="126">
        <f t="shared" si="11"/>
        <v>145.75</v>
      </c>
      <c r="H31" s="126">
        <f t="shared" ca="1" si="12"/>
        <v>1603.25</v>
      </c>
      <c r="I31" s="128">
        <f t="shared" si="13"/>
        <v>0.36929760187000488</v>
      </c>
      <c r="J31" s="128">
        <f t="shared" ca="1" si="14"/>
        <v>0.56263399128502456</v>
      </c>
      <c r="K31" s="23">
        <v>1.5</v>
      </c>
      <c r="L31" s="79"/>
      <c r="M31" s="10"/>
    </row>
    <row r="32" spans="1:18" ht="14.15" customHeight="1" x14ac:dyDescent="0.35">
      <c r="A32" s="79"/>
      <c r="B32" s="74" t="s">
        <v>65</v>
      </c>
      <c r="C32" s="92" t="s">
        <v>18</v>
      </c>
      <c r="D32" s="125">
        <v>752.94</v>
      </c>
      <c r="E32" s="86">
        <f t="shared" ca="1" si="10"/>
        <v>5447.09</v>
      </c>
      <c r="F32" s="20">
        <v>8.99</v>
      </c>
      <c r="G32" s="126">
        <f t="shared" si="11"/>
        <v>6768.9306000000006</v>
      </c>
      <c r="H32" s="126">
        <f t="shared" ca="1" si="12"/>
        <v>48969.339100000005</v>
      </c>
      <c r="I32" s="128">
        <f t="shared" si="13"/>
        <v>11.12235745408006</v>
      </c>
      <c r="J32" s="128">
        <f t="shared" ca="1" si="14"/>
        <v>11.144429045777253</v>
      </c>
      <c r="K32" s="23">
        <v>8</v>
      </c>
      <c r="L32" s="79"/>
    </row>
    <row r="33" spans="1:18" ht="14.15" customHeight="1" x14ac:dyDescent="0.35">
      <c r="A33" s="79"/>
      <c r="B33" s="102" t="s">
        <v>66</v>
      </c>
      <c r="C33" s="103" t="s">
        <v>18</v>
      </c>
      <c r="D33" s="125"/>
      <c r="E33" s="86">
        <f t="shared" ca="1" si="10"/>
        <v>0</v>
      </c>
      <c r="F33" s="20">
        <v>24</v>
      </c>
      <c r="G33" s="126">
        <f t="shared" si="11"/>
        <v>0</v>
      </c>
      <c r="H33" s="126">
        <f t="shared" ca="1" si="12"/>
        <v>0</v>
      </c>
      <c r="I33" s="128">
        <f t="shared" si="13"/>
        <v>0</v>
      </c>
      <c r="J33" s="128">
        <f t="shared" ca="1" si="14"/>
        <v>0</v>
      </c>
      <c r="K33" s="23">
        <v>0</v>
      </c>
      <c r="L33" s="79"/>
      <c r="M33" s="79"/>
      <c r="N33" s="79"/>
      <c r="O33" s="79"/>
      <c r="P33" s="79"/>
      <c r="Q33" s="79"/>
      <c r="R33" s="79"/>
    </row>
    <row r="34" spans="1:18" ht="14.15" customHeight="1" x14ac:dyDescent="0.35">
      <c r="A34" s="79"/>
      <c r="B34" s="102" t="s">
        <v>67</v>
      </c>
      <c r="C34" s="103" t="s">
        <v>36</v>
      </c>
      <c r="D34" s="75">
        <v>125</v>
      </c>
      <c r="E34" s="86">
        <f t="shared" ca="1" si="10"/>
        <v>975</v>
      </c>
      <c r="F34" s="20">
        <v>5.83</v>
      </c>
      <c r="G34" s="126">
        <f t="shared" si="11"/>
        <v>728.75</v>
      </c>
      <c r="H34" s="126">
        <f t="shared" ca="1" si="12"/>
        <v>5684.25</v>
      </c>
      <c r="I34" s="128">
        <f t="shared" si="13"/>
        <v>1.8464880093500242</v>
      </c>
      <c r="J34" s="128">
        <f t="shared" ca="1" si="14"/>
        <v>1.9947932418287235</v>
      </c>
      <c r="K34" s="23">
        <v>2</v>
      </c>
      <c r="L34" s="79"/>
      <c r="M34" s="79"/>
      <c r="N34" s="79"/>
      <c r="O34" s="79"/>
      <c r="P34" s="79"/>
      <c r="Q34" s="79"/>
      <c r="R34" s="79"/>
    </row>
    <row r="35" spans="1:18" ht="14.15" customHeight="1" x14ac:dyDescent="0.35">
      <c r="A35" s="79"/>
      <c r="B35" s="102" t="s">
        <v>68</v>
      </c>
      <c r="C35" s="103" t="s">
        <v>18</v>
      </c>
      <c r="D35" s="75">
        <v>125</v>
      </c>
      <c r="E35" s="86">
        <f t="shared" ca="1" si="10"/>
        <v>800</v>
      </c>
      <c r="F35" s="20">
        <v>5.83</v>
      </c>
      <c r="G35" s="126">
        <f t="shared" si="11"/>
        <v>728.75</v>
      </c>
      <c r="H35" s="126">
        <f t="shared" ca="1" si="12"/>
        <v>4664</v>
      </c>
      <c r="I35" s="128">
        <f t="shared" si="13"/>
        <v>1.8464880093500242</v>
      </c>
      <c r="J35" s="128">
        <f t="shared" ca="1" si="14"/>
        <v>1.6367534291927988</v>
      </c>
      <c r="K35" s="23">
        <v>1</v>
      </c>
      <c r="L35" s="79"/>
      <c r="M35" s="79"/>
      <c r="N35" s="79"/>
      <c r="O35" s="79"/>
      <c r="P35" s="79"/>
      <c r="Q35" s="79"/>
      <c r="R35" s="79"/>
    </row>
    <row r="36" spans="1:18" ht="14.15" customHeight="1" x14ac:dyDescent="0.35">
      <c r="A36" s="79"/>
      <c r="B36" s="102" t="s">
        <v>69</v>
      </c>
      <c r="C36" s="103" t="s">
        <v>18</v>
      </c>
      <c r="D36" s="75"/>
      <c r="E36" s="86">
        <f t="shared" ca="1" si="10"/>
        <v>25</v>
      </c>
      <c r="F36" s="20">
        <v>5.83</v>
      </c>
      <c r="G36" s="126">
        <f t="shared" si="11"/>
        <v>0</v>
      </c>
      <c r="H36" s="126">
        <f t="shared" ca="1" si="12"/>
        <v>145.75</v>
      </c>
      <c r="I36" s="128">
        <f t="shared" si="13"/>
        <v>0</v>
      </c>
      <c r="J36" s="128">
        <f t="shared" ca="1" si="14"/>
        <v>5.1148544662274961E-2</v>
      </c>
      <c r="K36" s="23">
        <v>1</v>
      </c>
      <c r="L36" s="79"/>
      <c r="M36" s="79"/>
      <c r="N36" s="79"/>
      <c r="O36" s="79"/>
      <c r="P36" s="79"/>
      <c r="Q36" s="79"/>
      <c r="R36" s="79"/>
    </row>
    <row r="37" spans="1:18" ht="8.25" customHeight="1" x14ac:dyDescent="0.3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R37" s="79"/>
    </row>
    <row r="38" spans="1:18" ht="14.5" x14ac:dyDescent="0.35">
      <c r="A38" s="79"/>
      <c r="B38" s="82" t="s">
        <v>70</v>
      </c>
      <c r="C38" s="82"/>
      <c r="D38" s="82" t="s">
        <v>5</v>
      </c>
      <c r="E38" s="82"/>
      <c r="F38" s="82" t="s">
        <v>71</v>
      </c>
      <c r="G38" s="82"/>
      <c r="H38" s="82"/>
      <c r="I38" s="82" t="s">
        <v>72</v>
      </c>
      <c r="J38" s="82"/>
      <c r="K38" s="82"/>
      <c r="L38" s="108"/>
      <c r="M38" s="108"/>
      <c r="N38" s="108"/>
      <c r="O38" s="108"/>
      <c r="P38" s="108"/>
      <c r="Q38" s="108"/>
      <c r="R38" s="79"/>
    </row>
    <row r="39" spans="1:18" ht="15.75" customHeight="1" x14ac:dyDescent="0.35">
      <c r="A39" s="79"/>
      <c r="B39" s="10"/>
      <c r="C39" s="10"/>
      <c r="D39" s="10" t="s">
        <v>12</v>
      </c>
      <c r="E39" s="10" t="s">
        <v>13</v>
      </c>
      <c r="F39" s="10" t="s">
        <v>14</v>
      </c>
      <c r="G39" s="10" t="s">
        <v>0</v>
      </c>
      <c r="H39" s="10" t="s">
        <v>13</v>
      </c>
      <c r="I39" s="10" t="s">
        <v>0</v>
      </c>
      <c r="J39" s="10" t="s">
        <v>13</v>
      </c>
      <c r="K39" s="10" t="s">
        <v>15</v>
      </c>
      <c r="L39" s="79"/>
      <c r="M39" s="79"/>
      <c r="N39" s="79"/>
      <c r="O39" s="79"/>
      <c r="P39" s="79"/>
      <c r="Q39" s="79"/>
      <c r="R39" s="79"/>
    </row>
    <row r="40" spans="1:18" ht="12.75" customHeight="1" x14ac:dyDescent="0.35">
      <c r="A40" s="79"/>
      <c r="B40" s="88" t="s">
        <v>29</v>
      </c>
      <c r="C40" s="89" t="s">
        <v>18</v>
      </c>
      <c r="D40" s="125">
        <v>475</v>
      </c>
      <c r="E40" s="86">
        <f t="shared" ref="E40:E53" ca="1" si="15">INDIRECT("'" &amp; $S$2 &amp; "'!E" &amp; ROW()) + D40</f>
        <v>2100</v>
      </c>
      <c r="F40" s="20">
        <v>5.83</v>
      </c>
      <c r="G40" s="126">
        <f t="shared" ref="G40:G53" si="16">D40*F40</f>
        <v>2769.25</v>
      </c>
      <c r="H40" s="126">
        <f t="shared" ref="H40:H53" ca="1" si="17">INDIRECT("'" &amp; $S$2 &amp; "'!H" &amp; ROW()) + G40</f>
        <v>12243</v>
      </c>
      <c r="I40" s="127">
        <f t="shared" ref="I40:I53" si="18">IF($N$16=0,0,D40/$N$16*1000)</f>
        <v>7.0166544355300928</v>
      </c>
      <c r="J40" s="127">
        <f t="shared" ref="J40:J53" ca="1" si="19">IF($O$16=0,0,E40/$O$16*1000)</f>
        <v>4.2964777516310964</v>
      </c>
      <c r="K40" s="55">
        <v>6</v>
      </c>
      <c r="L40" s="79"/>
      <c r="M40" s="79"/>
      <c r="N40" s="79"/>
      <c r="O40" s="79"/>
      <c r="P40" s="79"/>
      <c r="Q40" s="79"/>
      <c r="R40" s="79"/>
    </row>
    <row r="41" spans="1:18" ht="12.75" customHeight="1" x14ac:dyDescent="0.35">
      <c r="A41" s="79"/>
      <c r="B41" s="74" t="s">
        <v>73</v>
      </c>
      <c r="C41" s="92" t="s">
        <v>18</v>
      </c>
      <c r="D41" s="125">
        <v>150</v>
      </c>
      <c r="E41" s="86">
        <f t="shared" ca="1" si="15"/>
        <v>1250</v>
      </c>
      <c r="F41" s="20">
        <v>37.840000000000003</v>
      </c>
      <c r="G41" s="126">
        <f t="shared" si="16"/>
        <v>5676.0000000000009</v>
      </c>
      <c r="H41" s="126">
        <f t="shared" ca="1" si="17"/>
        <v>47300.000000000007</v>
      </c>
      <c r="I41" s="127">
        <f t="shared" si="18"/>
        <v>2.2157856112200291</v>
      </c>
      <c r="J41" s="127">
        <f t="shared" ca="1" si="19"/>
        <v>2.557427233113748</v>
      </c>
      <c r="K41" s="55">
        <v>3</v>
      </c>
      <c r="L41" s="79"/>
      <c r="M41" s="79"/>
      <c r="N41" s="79"/>
      <c r="O41" s="79"/>
      <c r="P41" s="79"/>
      <c r="Q41" s="79"/>
      <c r="R41" s="79"/>
    </row>
    <row r="42" spans="1:18" ht="12.75" customHeight="1" x14ac:dyDescent="0.35">
      <c r="A42" s="79"/>
      <c r="B42" s="74" t="s">
        <v>74</v>
      </c>
      <c r="C42" s="92" t="s">
        <v>18</v>
      </c>
      <c r="D42" s="125"/>
      <c r="E42" s="86">
        <f t="shared" ca="1" si="15"/>
        <v>88.5</v>
      </c>
      <c r="F42" s="20">
        <v>21</v>
      </c>
      <c r="G42" s="126">
        <f t="shared" si="16"/>
        <v>0</v>
      </c>
      <c r="H42" s="126">
        <f t="shared" ca="1" si="17"/>
        <v>1858.5</v>
      </c>
      <c r="I42" s="127">
        <f t="shared" si="18"/>
        <v>0</v>
      </c>
      <c r="J42" s="127">
        <f t="shared" ca="1" si="19"/>
        <v>0.18106584810445336</v>
      </c>
      <c r="K42" s="55">
        <v>0.35</v>
      </c>
      <c r="L42" s="79"/>
      <c r="M42" s="129"/>
      <c r="N42" s="79"/>
      <c r="O42" s="79"/>
      <c r="P42" s="79"/>
      <c r="Q42" s="79"/>
      <c r="R42" s="79"/>
    </row>
    <row r="43" spans="1:18" ht="12.75" customHeight="1" x14ac:dyDescent="0.35">
      <c r="A43" s="79"/>
      <c r="B43" s="74" t="s">
        <v>75</v>
      </c>
      <c r="C43" s="92" t="s">
        <v>18</v>
      </c>
      <c r="D43" s="125">
        <v>225</v>
      </c>
      <c r="E43" s="86">
        <f t="shared" ca="1" si="15"/>
        <v>2580</v>
      </c>
      <c r="F43" s="20">
        <v>2.9</v>
      </c>
      <c r="G43" s="126">
        <f t="shared" si="16"/>
        <v>652.5</v>
      </c>
      <c r="H43" s="126">
        <f t="shared" ca="1" si="17"/>
        <v>7482</v>
      </c>
      <c r="I43" s="127">
        <f t="shared" si="18"/>
        <v>3.3236784168300439</v>
      </c>
      <c r="J43" s="127">
        <f t="shared" ca="1" si="19"/>
        <v>5.2785298091467761</v>
      </c>
      <c r="K43" s="55">
        <v>7</v>
      </c>
      <c r="L43" s="79"/>
      <c r="M43" s="129"/>
      <c r="N43" s="79"/>
      <c r="O43" s="79"/>
      <c r="P43" s="79"/>
      <c r="Q43" s="79"/>
      <c r="R43" s="79"/>
    </row>
    <row r="44" spans="1:18" ht="12.75" customHeight="1" x14ac:dyDescent="0.35">
      <c r="A44" s="79"/>
      <c r="B44" s="74" t="s">
        <v>76</v>
      </c>
      <c r="C44" s="92" t="s">
        <v>18</v>
      </c>
      <c r="D44" s="125">
        <v>15</v>
      </c>
      <c r="E44" s="86">
        <f t="shared" ca="1" si="15"/>
        <v>165</v>
      </c>
      <c r="F44" s="20">
        <v>24</v>
      </c>
      <c r="G44" s="126">
        <f t="shared" si="16"/>
        <v>360</v>
      </c>
      <c r="H44" s="126">
        <f t="shared" ca="1" si="17"/>
        <v>3960</v>
      </c>
      <c r="I44" s="127">
        <f t="shared" si="18"/>
        <v>0.22157856112200291</v>
      </c>
      <c r="J44" s="127">
        <f t="shared" ca="1" si="19"/>
        <v>0.33758039477101476</v>
      </c>
      <c r="K44" s="55">
        <v>0.3</v>
      </c>
      <c r="L44" s="79"/>
      <c r="M44" s="129"/>
      <c r="N44" s="79"/>
      <c r="O44" s="79"/>
      <c r="P44" s="79"/>
      <c r="Q44" s="79"/>
      <c r="R44" s="79"/>
    </row>
    <row r="45" spans="1:18" ht="12.75" customHeight="1" x14ac:dyDescent="0.35">
      <c r="A45" s="79"/>
      <c r="B45" s="74" t="s">
        <v>77</v>
      </c>
      <c r="C45" s="92" t="s">
        <v>18</v>
      </c>
      <c r="D45" s="125">
        <v>502.85</v>
      </c>
      <c r="E45" s="86">
        <f t="shared" ca="1" si="15"/>
        <v>9327.869999999999</v>
      </c>
      <c r="F45" s="20">
        <v>0.64</v>
      </c>
      <c r="G45" s="126">
        <f t="shared" si="16"/>
        <v>321.82400000000001</v>
      </c>
      <c r="H45" s="126">
        <f t="shared" ca="1" si="17"/>
        <v>5969.8368</v>
      </c>
      <c r="I45" s="127">
        <f t="shared" si="18"/>
        <v>7.4280519640132789</v>
      </c>
      <c r="J45" s="127">
        <f t="shared" ca="1" si="19"/>
        <v>19.084279011955786</v>
      </c>
      <c r="K45" s="55">
        <v>12</v>
      </c>
      <c r="L45" s="79"/>
      <c r="M45" s="129"/>
      <c r="N45" s="79"/>
      <c r="O45" s="79"/>
      <c r="P45" s="79"/>
      <c r="Q45" s="79"/>
      <c r="R45" s="79"/>
    </row>
    <row r="46" spans="1:18" ht="12.75" customHeight="1" x14ac:dyDescent="0.35">
      <c r="A46" s="79"/>
      <c r="B46" s="74" t="s">
        <v>78</v>
      </c>
      <c r="C46" s="92" t="s">
        <v>18</v>
      </c>
      <c r="D46" s="125">
        <v>15</v>
      </c>
      <c r="E46" s="86">
        <f t="shared" ca="1" si="15"/>
        <v>112</v>
      </c>
      <c r="F46" s="20">
        <v>24</v>
      </c>
      <c r="G46" s="126">
        <f t="shared" si="16"/>
        <v>360</v>
      </c>
      <c r="H46" s="126">
        <f t="shared" ca="1" si="17"/>
        <v>2688</v>
      </c>
      <c r="I46" s="127">
        <f t="shared" si="18"/>
        <v>0.22157856112200291</v>
      </c>
      <c r="J46" s="127">
        <f t="shared" ca="1" si="19"/>
        <v>0.22914548008699182</v>
      </c>
      <c r="K46" s="55">
        <v>0.4</v>
      </c>
      <c r="L46" s="79"/>
      <c r="M46" s="129"/>
      <c r="N46" s="79"/>
      <c r="O46" s="79"/>
      <c r="P46" s="79"/>
      <c r="Q46" s="79"/>
      <c r="R46" s="79"/>
    </row>
    <row r="47" spans="1:18" ht="12.75" customHeight="1" x14ac:dyDescent="0.35">
      <c r="A47" s="79"/>
      <c r="B47" s="74" t="s">
        <v>79</v>
      </c>
      <c r="C47" s="92" t="s">
        <v>18</v>
      </c>
      <c r="D47" s="125"/>
      <c r="E47" s="86">
        <f t="shared" ca="1" si="15"/>
        <v>72</v>
      </c>
      <c r="F47" s="20">
        <v>41.96</v>
      </c>
      <c r="G47" s="126">
        <f t="shared" si="16"/>
        <v>0</v>
      </c>
      <c r="H47" s="126">
        <f t="shared" ca="1" si="17"/>
        <v>3021.12</v>
      </c>
      <c r="I47" s="127">
        <f t="shared" si="18"/>
        <v>0</v>
      </c>
      <c r="J47" s="127">
        <f t="shared" ca="1" si="19"/>
        <v>0.14730780862735188</v>
      </c>
      <c r="K47" s="55">
        <v>0.2</v>
      </c>
      <c r="L47" s="79"/>
      <c r="M47" s="129"/>
      <c r="N47" s="79"/>
      <c r="O47" s="79"/>
      <c r="P47" s="79"/>
      <c r="Q47" s="79"/>
      <c r="R47" s="79"/>
    </row>
    <row r="48" spans="1:18" ht="12.75" customHeight="1" x14ac:dyDescent="0.35">
      <c r="B48" s="74" t="s">
        <v>80</v>
      </c>
      <c r="C48" s="92" t="s">
        <v>18</v>
      </c>
      <c r="D48" s="125">
        <v>140</v>
      </c>
      <c r="E48" s="86">
        <f t="shared" ca="1" si="15"/>
        <v>1038.8800000000001</v>
      </c>
      <c r="F48" s="20">
        <v>23.51</v>
      </c>
      <c r="G48" s="126">
        <f t="shared" si="16"/>
        <v>3291.4</v>
      </c>
      <c r="H48" s="126">
        <f t="shared" ca="1" si="17"/>
        <v>24424.068800000005</v>
      </c>
      <c r="I48" s="127">
        <f t="shared" si="18"/>
        <v>2.0680665704720274</v>
      </c>
      <c r="J48" s="127">
        <f t="shared" ca="1" si="19"/>
        <v>2.1254880031497687</v>
      </c>
      <c r="K48" s="55">
        <v>2</v>
      </c>
      <c r="M48" s="129"/>
    </row>
    <row r="49" spans="2:13" ht="12.75" customHeight="1" x14ac:dyDescent="0.35">
      <c r="B49" s="74" t="s">
        <v>81</v>
      </c>
      <c r="C49" s="92" t="s">
        <v>18</v>
      </c>
      <c r="D49" s="125"/>
      <c r="E49" s="86">
        <f t="shared" ca="1" si="15"/>
        <v>50</v>
      </c>
      <c r="F49" s="20">
        <v>41.96</v>
      </c>
      <c r="G49" s="126">
        <f t="shared" si="16"/>
        <v>0</v>
      </c>
      <c r="H49" s="126">
        <f t="shared" ca="1" si="17"/>
        <v>2098</v>
      </c>
      <c r="I49" s="127">
        <f t="shared" si="18"/>
        <v>0</v>
      </c>
      <c r="J49" s="127">
        <f t="shared" ca="1" si="19"/>
        <v>0.10229708932454992</v>
      </c>
      <c r="K49" s="55">
        <v>0.5</v>
      </c>
      <c r="M49" s="129"/>
    </row>
    <row r="50" spans="2:13" ht="12.75" customHeight="1" x14ac:dyDescent="0.35">
      <c r="B50" s="74" t="s">
        <v>82</v>
      </c>
      <c r="C50" s="130" t="s">
        <v>18</v>
      </c>
      <c r="D50" s="125">
        <v>8.1</v>
      </c>
      <c r="E50" s="86">
        <f t="shared" ca="1" si="15"/>
        <v>106.06</v>
      </c>
      <c r="F50" s="20">
        <v>43.43</v>
      </c>
      <c r="G50" s="126">
        <f t="shared" si="16"/>
        <v>351.78299999999996</v>
      </c>
      <c r="H50" s="126">
        <f t="shared" ca="1" si="17"/>
        <v>4606.1858000000002</v>
      </c>
      <c r="I50" s="127">
        <f t="shared" si="18"/>
        <v>0.11965242300588157</v>
      </c>
      <c r="J50" s="126">
        <f t="shared" ca="1" si="19"/>
        <v>0.21699258587523529</v>
      </c>
      <c r="K50" s="55">
        <v>0.05</v>
      </c>
    </row>
    <row r="51" spans="2:13" ht="12.75" customHeight="1" x14ac:dyDescent="0.35">
      <c r="B51" s="74" t="s">
        <v>63</v>
      </c>
      <c r="C51" s="89" t="s">
        <v>18</v>
      </c>
      <c r="D51" s="75">
        <v>2203.34</v>
      </c>
      <c r="E51" s="86">
        <f t="shared" ca="1" si="15"/>
        <v>12118.470000000001</v>
      </c>
      <c r="F51" s="76">
        <v>1.03</v>
      </c>
      <c r="G51" s="126">
        <f t="shared" si="16"/>
        <v>2269.4402</v>
      </c>
      <c r="H51" s="126">
        <f t="shared" ca="1" si="17"/>
        <v>12482.024100000002</v>
      </c>
      <c r="I51" s="127">
        <f t="shared" si="18"/>
        <v>32.547527124170266</v>
      </c>
      <c r="J51" s="126">
        <f t="shared" ca="1" si="19"/>
        <v>24.793684161337573</v>
      </c>
      <c r="K51" s="55">
        <v>0</v>
      </c>
    </row>
    <row r="52" spans="2:13" ht="12.75" customHeight="1" x14ac:dyDescent="0.35">
      <c r="B52" s="74" t="s">
        <v>83</v>
      </c>
      <c r="C52" s="28" t="s">
        <v>36</v>
      </c>
      <c r="D52" s="75">
        <v>360</v>
      </c>
      <c r="E52" s="86">
        <f t="shared" ca="1" si="15"/>
        <v>360</v>
      </c>
      <c r="F52" s="76">
        <v>26.1</v>
      </c>
      <c r="G52" s="20">
        <f t="shared" si="16"/>
        <v>9396</v>
      </c>
      <c r="H52" s="126">
        <f t="shared" ca="1" si="17"/>
        <v>9396</v>
      </c>
      <c r="I52" s="127">
        <f t="shared" si="18"/>
        <v>5.3178854669280708</v>
      </c>
      <c r="J52" s="126">
        <f t="shared" ca="1" si="19"/>
        <v>0.73653904313675933</v>
      </c>
      <c r="K52" s="23">
        <v>2.5</v>
      </c>
    </row>
    <row r="53" spans="2:13" ht="12.75" customHeight="1" x14ac:dyDescent="0.35">
      <c r="B53" s="74" t="s">
        <v>91</v>
      </c>
      <c r="C53" s="28" t="s">
        <v>36</v>
      </c>
      <c r="D53" s="75">
        <v>7.77</v>
      </c>
      <c r="E53" s="86">
        <f t="shared" ca="1" si="15"/>
        <v>77.759999999999991</v>
      </c>
      <c r="F53" s="76">
        <v>26.42</v>
      </c>
      <c r="G53" s="131">
        <f t="shared" si="16"/>
        <v>205.2834</v>
      </c>
      <c r="H53" s="126">
        <f t="shared" ca="1" si="17"/>
        <v>2054.4191999999998</v>
      </c>
      <c r="I53" s="127">
        <f t="shared" si="18"/>
        <v>0.1147776946611975</v>
      </c>
      <c r="J53" s="126">
        <f t="shared" ca="1" si="19"/>
        <v>0.15909243331754003</v>
      </c>
      <c r="K53" s="23">
        <v>0.3</v>
      </c>
    </row>
  </sheetData>
  <mergeCells count="7">
    <mergeCell ref="F16:H16"/>
    <mergeCell ref="I16:J16"/>
    <mergeCell ref="E2:P2"/>
    <mergeCell ref="C3:G3"/>
    <mergeCell ref="D4:E4"/>
    <mergeCell ref="F4:H4"/>
    <mergeCell ref="I4:J4"/>
  </mergeCells>
  <printOptions horizontalCentered="1" verticalCentered="1"/>
  <pageMargins left="0" right="0" top="0" bottom="0" header="0.511811023622047" footer="0.511811023622047"/>
  <pageSetup paperSize="9" scale="80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53"/>
  <sheetViews>
    <sheetView showGridLines="0" zoomScaleNormal="100" workbookViewId="0">
      <selection activeCell="B2" sqref="B2:J14"/>
    </sheetView>
  </sheetViews>
  <sheetFormatPr defaultColWidth="9.1796875" defaultRowHeight="15" customHeight="1" x14ac:dyDescent="0.35"/>
  <cols>
    <col min="1" max="1" width="1.81640625" style="78" customWidth="1"/>
    <col min="2" max="2" width="21.54296875" style="78" customWidth="1"/>
    <col min="3" max="3" width="3.54296875" style="78" customWidth="1"/>
    <col min="4" max="4" width="10.453125" style="78" customWidth="1"/>
    <col min="5" max="5" width="7.7265625" style="78" customWidth="1"/>
    <col min="6" max="6" width="12" style="78" customWidth="1"/>
    <col min="7" max="7" width="9.453125" style="78" customWidth="1"/>
    <col min="8" max="8" width="9.81640625" style="78" customWidth="1"/>
    <col min="9" max="9" width="9.26953125" style="78" customWidth="1"/>
    <col min="10" max="10" width="7.54296875" style="78" customWidth="1"/>
    <col min="11" max="11" width="6.54296875" style="78" customWidth="1"/>
    <col min="12" max="12" width="5.453125" style="78" customWidth="1"/>
    <col min="13" max="13" width="22.7265625" style="78" customWidth="1"/>
    <col min="14" max="14" width="13.453125" style="78" customWidth="1"/>
    <col min="15" max="15" width="13.81640625" style="78" customWidth="1"/>
    <col min="16" max="16" width="13.54296875" style="78" customWidth="1"/>
    <col min="17" max="17" width="10.26953125" style="78" customWidth="1"/>
    <col min="18" max="1024" width="9.08984375" style="78"/>
  </cols>
  <sheetData>
    <row r="1" spans="1:19" ht="7.5" customHeight="1" x14ac:dyDescent="0.35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9" ht="20.25" customHeight="1" x14ac:dyDescent="0.35">
      <c r="A2" s="79"/>
      <c r="B2" s="80" t="s">
        <v>0</v>
      </c>
      <c r="C2" s="79"/>
      <c r="D2" s="79"/>
      <c r="E2" s="132" t="s">
        <v>1</v>
      </c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79"/>
      <c r="R2" s="79"/>
      <c r="S2" s="78" t="s">
        <v>102</v>
      </c>
    </row>
    <row r="3" spans="1:19" ht="10.5" customHeight="1" x14ac:dyDescent="0.35">
      <c r="A3" s="79"/>
      <c r="B3" s="81">
        <v>9</v>
      </c>
      <c r="C3" s="138" t="s">
        <v>103</v>
      </c>
      <c r="D3" s="138"/>
      <c r="E3" s="138"/>
      <c r="F3" s="138"/>
      <c r="G3" s="13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 spans="1:19" ht="14.5" x14ac:dyDescent="0.35">
      <c r="A4" s="79"/>
      <c r="B4" s="82" t="s">
        <v>3</v>
      </c>
      <c r="C4" s="82"/>
      <c r="D4" s="136" t="s">
        <v>5</v>
      </c>
      <c r="E4" s="136"/>
      <c r="F4" s="136" t="s">
        <v>6</v>
      </c>
      <c r="G4" s="136"/>
      <c r="H4" s="136"/>
      <c r="I4" s="136" t="s">
        <v>7</v>
      </c>
      <c r="J4" s="136"/>
      <c r="K4" s="82"/>
      <c r="L4" s="82"/>
      <c r="M4" s="82" t="s">
        <v>8</v>
      </c>
      <c r="N4" s="83" t="s">
        <v>9</v>
      </c>
      <c r="O4" s="83" t="s">
        <v>10</v>
      </c>
      <c r="P4" s="83" t="s">
        <v>11</v>
      </c>
      <c r="Q4" s="84"/>
      <c r="R4" s="79"/>
    </row>
    <row r="5" spans="1:19" ht="14.5" x14ac:dyDescent="0.35">
      <c r="A5" s="79"/>
      <c r="B5" s="10"/>
      <c r="C5" s="10"/>
      <c r="D5" s="10" t="s">
        <v>12</v>
      </c>
      <c r="E5" s="10" t="s">
        <v>13</v>
      </c>
      <c r="F5" s="10" t="s">
        <v>14</v>
      </c>
      <c r="G5" s="10" t="s">
        <v>0</v>
      </c>
      <c r="H5" s="10" t="s">
        <v>13</v>
      </c>
      <c r="I5" s="10" t="s">
        <v>0</v>
      </c>
      <c r="J5" s="10" t="s">
        <v>13</v>
      </c>
      <c r="K5" s="10" t="s">
        <v>15</v>
      </c>
      <c r="L5" s="79"/>
      <c r="M5" s="43" t="s">
        <v>16</v>
      </c>
      <c r="N5" s="85">
        <v>73984</v>
      </c>
      <c r="O5" s="86">
        <f ca="1">INDIRECT("'" &amp; $S$2 &amp; "'!O" &amp; ROW()) + N5</f>
        <v>679862</v>
      </c>
      <c r="P5" s="85">
        <v>573931</v>
      </c>
      <c r="Q5" s="87"/>
      <c r="R5" s="79"/>
    </row>
    <row r="6" spans="1:19" ht="14.15" customHeight="1" x14ac:dyDescent="0.35">
      <c r="A6" s="79"/>
      <c r="B6" s="88" t="s">
        <v>17</v>
      </c>
      <c r="C6" s="89" t="s">
        <v>18</v>
      </c>
      <c r="D6" s="125">
        <v>9416.36</v>
      </c>
      <c r="E6" s="86">
        <f t="shared" ref="E6:E14" ca="1" si="0">INDIRECT("'" &amp; $S$2 &amp; "'!E" &amp; ROW()) + D6</f>
        <v>108176.41</v>
      </c>
      <c r="F6" s="20">
        <v>9.6</v>
      </c>
      <c r="G6" s="126">
        <f t="shared" ref="G6:G14" si="1">F6*D6</f>
        <v>90397.055999999997</v>
      </c>
      <c r="H6" s="126">
        <f t="shared" ref="H6:H14" ca="1" si="2">INDIRECT("'" &amp; $S$2 &amp; "'!H" &amp; ROW()) + G6</f>
        <v>659003.1375999999</v>
      </c>
      <c r="I6" s="127">
        <f>IF($N$9=0,0,D6/$N$9*1000)</f>
        <v>6.5024856416988417</v>
      </c>
      <c r="J6" s="127">
        <f ca="1">IF($O$9=0,0,E6/$O$9*1000)</f>
        <v>5.4138608044089045</v>
      </c>
      <c r="K6" s="23">
        <v>9.8000000000000007</v>
      </c>
      <c r="L6" s="79"/>
      <c r="M6" s="43" t="s">
        <v>19</v>
      </c>
      <c r="N6" s="85"/>
      <c r="O6" s="86">
        <f>'semana 1'!O6+N6</f>
        <v>0</v>
      </c>
      <c r="P6" s="85"/>
      <c r="R6" s="79"/>
    </row>
    <row r="7" spans="1:19" ht="14.15" customHeight="1" x14ac:dyDescent="0.35">
      <c r="A7" s="79"/>
      <c r="B7" s="74" t="s">
        <v>20</v>
      </c>
      <c r="C7" s="92" t="s">
        <v>18</v>
      </c>
      <c r="D7" s="125">
        <v>10</v>
      </c>
      <c r="E7" s="86">
        <f t="shared" ca="1" si="0"/>
        <v>140</v>
      </c>
      <c r="F7" s="20">
        <v>599</v>
      </c>
      <c r="G7" s="126">
        <f t="shared" si="1"/>
        <v>5990</v>
      </c>
      <c r="H7" s="126">
        <f t="shared" ca="1" si="2"/>
        <v>83860</v>
      </c>
      <c r="I7" s="128">
        <f t="shared" ref="I7:I14" si="3">IF($N$9=0,0,D7/$N$9*1000)*1000</f>
        <v>6.9055193744704333</v>
      </c>
      <c r="J7" s="128">
        <f t="shared" ref="J7:J14" ca="1" si="4">IF($O$9=0,0,E7/$O$9*1000)*1000</f>
        <v>7.0065230729809445</v>
      </c>
      <c r="K7" s="23">
        <v>6.8</v>
      </c>
      <c r="L7" s="79"/>
      <c r="M7" s="43" t="s">
        <v>21</v>
      </c>
      <c r="N7" s="85"/>
      <c r="O7" s="86">
        <f>'semana 1'!O7+N7</f>
        <v>0</v>
      </c>
      <c r="P7" s="85"/>
      <c r="Q7" s="87"/>
      <c r="R7" s="79"/>
    </row>
    <row r="8" spans="1:19" ht="14.15" customHeight="1" x14ac:dyDescent="0.35">
      <c r="A8" s="79"/>
      <c r="B8" s="74" t="s">
        <v>22</v>
      </c>
      <c r="C8" s="92" t="s">
        <v>18</v>
      </c>
      <c r="D8" s="125">
        <v>430</v>
      </c>
      <c r="E8" s="86">
        <f t="shared" ca="1" si="0"/>
        <v>11930</v>
      </c>
      <c r="F8" s="20">
        <v>15</v>
      </c>
      <c r="G8" s="126">
        <f t="shared" si="1"/>
        <v>6450</v>
      </c>
      <c r="H8" s="126">
        <f t="shared" ca="1" si="2"/>
        <v>172292.4</v>
      </c>
      <c r="I8" s="128">
        <f t="shared" si="3"/>
        <v>296.93733310222865</v>
      </c>
      <c r="J8" s="128">
        <f t="shared" ca="1" si="4"/>
        <v>597.05585900473341</v>
      </c>
      <c r="K8" s="23">
        <v>400</v>
      </c>
      <c r="L8" s="79"/>
      <c r="M8" s="49" t="s">
        <v>23</v>
      </c>
      <c r="N8" s="94">
        <v>1448117</v>
      </c>
      <c r="O8" s="86">
        <f ca="1">INDIRECT("'" &amp; $S$2 &amp; "'!O" &amp; ROW()) + N8</f>
        <v>19981380</v>
      </c>
      <c r="P8" s="94">
        <v>8517073</v>
      </c>
      <c r="Q8" s="87"/>
      <c r="R8" s="79"/>
    </row>
    <row r="9" spans="1:19" ht="14.15" customHeight="1" x14ac:dyDescent="0.35">
      <c r="A9" s="79"/>
      <c r="B9" s="74" t="s">
        <v>24</v>
      </c>
      <c r="C9" s="92" t="s">
        <v>18</v>
      </c>
      <c r="D9" s="125">
        <v>317.64</v>
      </c>
      <c r="E9" s="86">
        <f t="shared" ca="1" si="0"/>
        <v>6851.63</v>
      </c>
      <c r="F9" s="20">
        <v>25.15</v>
      </c>
      <c r="G9" s="126">
        <f t="shared" si="1"/>
        <v>7988.6459999999988</v>
      </c>
      <c r="H9" s="126">
        <f t="shared" ca="1" si="2"/>
        <v>172318.4945</v>
      </c>
      <c r="I9" s="128">
        <f t="shared" si="3"/>
        <v>219.34691741067883</v>
      </c>
      <c r="J9" s="128">
        <f t="shared" ca="1" si="4"/>
        <v>342.90074058948881</v>
      </c>
      <c r="K9" s="23">
        <v>200</v>
      </c>
      <c r="L9" s="79"/>
      <c r="M9" s="34" t="s">
        <v>25</v>
      </c>
      <c r="N9" s="95">
        <f>SUM(N7:N8)</f>
        <v>1448117</v>
      </c>
      <c r="O9" s="95">
        <f ca="1">SUM(O7:O8)</f>
        <v>19981380</v>
      </c>
      <c r="P9" s="96"/>
      <c r="Q9" s="97"/>
      <c r="R9" s="79"/>
    </row>
    <row r="10" spans="1:19" ht="14.15" customHeight="1" x14ac:dyDescent="0.35">
      <c r="A10" s="79"/>
      <c r="B10" s="74" t="s">
        <v>26</v>
      </c>
      <c r="C10" s="92" t="s">
        <v>18</v>
      </c>
      <c r="D10" s="125"/>
      <c r="E10" s="86">
        <f t="shared" ca="1" si="0"/>
        <v>150</v>
      </c>
      <c r="F10" s="20">
        <v>10.98</v>
      </c>
      <c r="G10" s="126">
        <f t="shared" si="1"/>
        <v>0</v>
      </c>
      <c r="H10" s="126">
        <f t="shared" ca="1" si="2"/>
        <v>1647</v>
      </c>
      <c r="I10" s="128">
        <f t="shared" si="3"/>
        <v>0</v>
      </c>
      <c r="J10" s="128">
        <f t="shared" ca="1" si="4"/>
        <v>7.5069890067652976</v>
      </c>
      <c r="K10" s="23">
        <v>10</v>
      </c>
      <c r="L10" s="79"/>
      <c r="M10" s="38" t="s">
        <v>27</v>
      </c>
      <c r="N10" s="98">
        <f>SUM(N5:N6)</f>
        <v>73984</v>
      </c>
      <c r="O10" s="98">
        <f ca="1">SUM(O5:O6)</f>
        <v>679862</v>
      </c>
      <c r="P10" s="99"/>
      <c r="Q10" s="100"/>
      <c r="R10" s="79"/>
    </row>
    <row r="11" spans="1:19" ht="14.15" customHeight="1" x14ac:dyDescent="0.35">
      <c r="A11" s="79"/>
      <c r="B11" s="74" t="s">
        <v>28</v>
      </c>
      <c r="C11" s="92" t="s">
        <v>18</v>
      </c>
      <c r="D11" s="125"/>
      <c r="E11" s="86">
        <f t="shared" ca="1" si="0"/>
        <v>2653.34</v>
      </c>
      <c r="F11" s="20">
        <v>4.13</v>
      </c>
      <c r="G11" s="126">
        <f t="shared" si="1"/>
        <v>0</v>
      </c>
      <c r="H11" s="126">
        <f t="shared" ca="1" si="2"/>
        <v>10958.2942</v>
      </c>
      <c r="I11" s="128">
        <f t="shared" si="3"/>
        <v>0</v>
      </c>
      <c r="J11" s="128">
        <f t="shared" ca="1" si="4"/>
        <v>132.79062807473761</v>
      </c>
      <c r="K11" s="23"/>
      <c r="L11" s="79"/>
      <c r="R11" s="79"/>
    </row>
    <row r="12" spans="1:19" ht="14.15" customHeight="1" x14ac:dyDescent="0.35">
      <c r="A12" s="79"/>
      <c r="B12" s="74" t="s">
        <v>29</v>
      </c>
      <c r="C12" s="92" t="s">
        <v>18</v>
      </c>
      <c r="D12" s="125">
        <v>600</v>
      </c>
      <c r="E12" s="86">
        <f t="shared" ca="1" si="0"/>
        <v>7300</v>
      </c>
      <c r="F12" s="20">
        <v>5.83</v>
      </c>
      <c r="G12" s="126">
        <f t="shared" si="1"/>
        <v>3498</v>
      </c>
      <c r="H12" s="126">
        <f t="shared" ca="1" si="2"/>
        <v>42559</v>
      </c>
      <c r="I12" s="128">
        <f t="shared" si="3"/>
        <v>414.33116246822601</v>
      </c>
      <c r="J12" s="128">
        <f t="shared" ca="1" si="4"/>
        <v>365.34013166257785</v>
      </c>
      <c r="K12" s="23">
        <v>400</v>
      </c>
      <c r="L12" s="79"/>
      <c r="M12" s="56" t="s">
        <v>30</v>
      </c>
      <c r="N12" s="101"/>
      <c r="O12" s="101"/>
      <c r="P12" s="101"/>
      <c r="R12" s="79"/>
    </row>
    <row r="13" spans="1:19" ht="14.15" customHeight="1" x14ac:dyDescent="0.35">
      <c r="A13" s="79"/>
      <c r="B13" s="74" t="s">
        <v>31</v>
      </c>
      <c r="C13" s="92" t="s">
        <v>18</v>
      </c>
      <c r="D13" s="125">
        <v>1405.56</v>
      </c>
      <c r="E13" s="86">
        <f t="shared" ca="1" si="0"/>
        <v>9118.9299999999985</v>
      </c>
      <c r="F13" s="20">
        <v>14</v>
      </c>
      <c r="G13" s="126">
        <f t="shared" si="1"/>
        <v>19677.84</v>
      </c>
      <c r="H13" s="126">
        <f t="shared" ca="1" si="2"/>
        <v>65958.06</v>
      </c>
      <c r="I13" s="128">
        <f t="shared" si="3"/>
        <v>970.61218119806608</v>
      </c>
      <c r="J13" s="128">
        <f t="shared" ca="1" si="4"/>
        <v>456.37138175641513</v>
      </c>
      <c r="K13" s="23">
        <v>500</v>
      </c>
      <c r="L13" s="79"/>
      <c r="M13" s="43" t="s">
        <v>32</v>
      </c>
      <c r="N13" s="44" t="s">
        <v>0</v>
      </c>
      <c r="O13" s="44" t="s">
        <v>33</v>
      </c>
      <c r="P13" s="44" t="s">
        <v>34</v>
      </c>
      <c r="R13" s="79"/>
    </row>
    <row r="14" spans="1:19" ht="14.15" customHeight="1" x14ac:dyDescent="0.35">
      <c r="A14" s="79"/>
      <c r="B14" s="102" t="s">
        <v>35</v>
      </c>
      <c r="C14" s="103" t="s">
        <v>18</v>
      </c>
      <c r="D14" s="125">
        <v>10</v>
      </c>
      <c r="E14" s="86">
        <f t="shared" ca="1" si="0"/>
        <v>80</v>
      </c>
      <c r="F14" s="20">
        <v>425</v>
      </c>
      <c r="G14" s="126">
        <f t="shared" si="1"/>
        <v>4250</v>
      </c>
      <c r="H14" s="126">
        <f t="shared" ca="1" si="2"/>
        <v>34000</v>
      </c>
      <c r="I14" s="128">
        <f t="shared" si="3"/>
        <v>6.9055193744704333</v>
      </c>
      <c r="J14" s="128">
        <f t="shared" ca="1" si="4"/>
        <v>4.0037274702748267</v>
      </c>
      <c r="K14" s="23">
        <v>3</v>
      </c>
      <c r="L14" s="79"/>
      <c r="M14" s="43" t="s">
        <v>37</v>
      </c>
      <c r="N14" s="104">
        <v>16313.532999999999</v>
      </c>
      <c r="O14" s="105">
        <f ca="1">INDIRECT("'" &amp; $S$2 &amp; "'!O" &amp; ROW()) + N14</f>
        <v>258425.05999999997</v>
      </c>
      <c r="P14" s="105">
        <v>125310.715</v>
      </c>
      <c r="R14" s="79"/>
    </row>
    <row r="15" spans="1:19" ht="14.5" x14ac:dyDescent="0.3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49" t="s">
        <v>38</v>
      </c>
      <c r="N15" s="107">
        <v>24552.566999999999</v>
      </c>
      <c r="O15" s="105">
        <f ca="1">INDIRECT("'" &amp; $S$2 &amp; "'!O" &amp; ROW()) + N15</f>
        <v>271213.49999999994</v>
      </c>
      <c r="P15" s="105">
        <v>248793.505</v>
      </c>
      <c r="R15" s="79"/>
    </row>
    <row r="16" spans="1:19" ht="14.5" x14ac:dyDescent="0.35">
      <c r="A16" s="79"/>
      <c r="B16" s="82" t="s">
        <v>39</v>
      </c>
      <c r="C16" s="82"/>
      <c r="D16" s="82" t="s">
        <v>5</v>
      </c>
      <c r="E16" s="82"/>
      <c r="F16" s="136" t="s">
        <v>6</v>
      </c>
      <c r="G16" s="136"/>
      <c r="H16" s="136"/>
      <c r="I16" s="136" t="s">
        <v>40</v>
      </c>
      <c r="J16" s="136"/>
      <c r="K16" s="82"/>
      <c r="L16" s="108"/>
      <c r="M16" s="52" t="s">
        <v>41</v>
      </c>
      <c r="N16" s="109">
        <f>SUM(N14:N15)</f>
        <v>40866.1</v>
      </c>
      <c r="O16" s="109">
        <f ca="1">SUM(O14:O15)</f>
        <v>529638.55999999994</v>
      </c>
      <c r="P16" s="110">
        <f>P15+P14</f>
        <v>374104.22</v>
      </c>
      <c r="Q16" s="108"/>
      <c r="R16" s="79"/>
    </row>
    <row r="17" spans="1:18" ht="14.5" x14ac:dyDescent="0.35">
      <c r="A17" s="79"/>
      <c r="B17" s="10"/>
      <c r="C17" s="10"/>
      <c r="D17" s="10" t="s">
        <v>12</v>
      </c>
      <c r="E17" s="10" t="s">
        <v>13</v>
      </c>
      <c r="F17" s="10" t="s">
        <v>14</v>
      </c>
      <c r="G17" s="10" t="s">
        <v>0</v>
      </c>
      <c r="H17" s="10" t="s">
        <v>13</v>
      </c>
      <c r="I17" s="10" t="s">
        <v>0</v>
      </c>
      <c r="J17" s="10" t="s">
        <v>13</v>
      </c>
      <c r="K17" s="10" t="s">
        <v>15</v>
      </c>
      <c r="L17" s="79"/>
      <c r="Q17" s="79"/>
      <c r="R17" s="79"/>
    </row>
    <row r="18" spans="1:18" ht="14.15" customHeight="1" x14ac:dyDescent="0.35">
      <c r="A18" s="79"/>
      <c r="B18" s="88" t="s">
        <v>42</v>
      </c>
      <c r="C18" s="89" t="s">
        <v>18</v>
      </c>
      <c r="D18" s="125">
        <v>100</v>
      </c>
      <c r="E18" s="86">
        <f t="shared" ref="E18:E27" ca="1" si="5">INDIRECT("'" &amp; $S$2 &amp; "'!E" &amp; ROW()) + D18</f>
        <v>2559</v>
      </c>
      <c r="F18" s="20">
        <v>21</v>
      </c>
      <c r="G18" s="126">
        <f t="shared" ref="G18:G27" si="6">D18*F18</f>
        <v>2100</v>
      </c>
      <c r="H18" s="126">
        <f t="shared" ref="H18:H27" ca="1" si="7">INDIRECT("'" &amp; $S$2 &amp; "'!H" &amp; ROW()) + G18</f>
        <v>53739</v>
      </c>
      <c r="I18" s="127">
        <f t="shared" ref="I18:I27" si="8">IF($N$10=0,0,D18/$N$16*1000)</f>
        <v>2.447015986355439</v>
      </c>
      <c r="J18" s="127">
        <f t="shared" ref="J18:J27" ca="1" si="9">IF($O$10=0,0,E18/$O$16*1000)</f>
        <v>4.8315968535221456</v>
      </c>
      <c r="K18" s="55">
        <v>6.1</v>
      </c>
      <c r="L18" s="79"/>
      <c r="M18" s="56" t="s">
        <v>43</v>
      </c>
      <c r="N18" s="57" t="s">
        <v>0</v>
      </c>
      <c r="O18" s="57" t="s">
        <v>33</v>
      </c>
      <c r="Q18" s="79"/>
      <c r="R18" s="79"/>
    </row>
    <row r="19" spans="1:18" ht="14.15" customHeight="1" x14ac:dyDescent="0.35">
      <c r="A19" s="79"/>
      <c r="B19" s="74" t="s">
        <v>45</v>
      </c>
      <c r="C19" s="92" t="s">
        <v>18</v>
      </c>
      <c r="D19" s="125">
        <v>175</v>
      </c>
      <c r="E19" s="86">
        <f t="shared" ca="1" si="5"/>
        <v>2675</v>
      </c>
      <c r="F19" s="20">
        <v>15.63</v>
      </c>
      <c r="G19" s="126">
        <f t="shared" si="6"/>
        <v>2735.25</v>
      </c>
      <c r="H19" s="126">
        <f t="shared" ca="1" si="7"/>
        <v>41810.25</v>
      </c>
      <c r="I19" s="127">
        <f t="shared" si="8"/>
        <v>4.2822779761220184</v>
      </c>
      <c r="J19" s="127">
        <f t="shared" ca="1" si="9"/>
        <v>5.0506141395747317</v>
      </c>
      <c r="K19" s="55">
        <v>9</v>
      </c>
      <c r="L19" s="79"/>
      <c r="M19" s="43" t="s">
        <v>46</v>
      </c>
      <c r="N19" s="58">
        <f>SUM(G6:G14)</f>
        <v>138251.54199999999</v>
      </c>
      <c r="O19" s="126">
        <f ca="1">INDIRECT("'" &amp; $S$2 &amp; "'!O" &amp; ROW()) + N19</f>
        <v>1242596.3862999999</v>
      </c>
      <c r="Q19" s="79"/>
      <c r="R19" s="79"/>
    </row>
    <row r="20" spans="1:18" ht="14.15" customHeight="1" x14ac:dyDescent="0.35">
      <c r="A20" s="79"/>
      <c r="B20" s="74" t="s">
        <v>47</v>
      </c>
      <c r="C20" s="92" t="s">
        <v>18</v>
      </c>
      <c r="D20" s="125"/>
      <c r="E20" s="86">
        <f t="shared" ca="1" si="5"/>
        <v>1000</v>
      </c>
      <c r="F20" s="20">
        <v>6.7</v>
      </c>
      <c r="G20" s="126">
        <f t="shared" si="6"/>
        <v>0</v>
      </c>
      <c r="H20" s="126">
        <f t="shared" ca="1" si="7"/>
        <v>6700</v>
      </c>
      <c r="I20" s="127">
        <f t="shared" si="8"/>
        <v>0</v>
      </c>
      <c r="J20" s="127">
        <f t="shared" ca="1" si="9"/>
        <v>1.8880800521774701</v>
      </c>
      <c r="K20" s="55">
        <v>51</v>
      </c>
      <c r="L20" s="79"/>
      <c r="M20" s="43" t="s">
        <v>48</v>
      </c>
      <c r="N20" s="58">
        <f>SUM(G18:G27)+G51</f>
        <v>34490.871599999999</v>
      </c>
      <c r="O20" s="126">
        <f ca="1">INDIRECT("'" &amp; $S$2 &amp; "'!O" &amp; ROW()) + N20</f>
        <v>529843.56099999999</v>
      </c>
      <c r="Q20" s="79"/>
      <c r="R20" s="79"/>
    </row>
    <row r="21" spans="1:18" ht="14.15" customHeight="1" x14ac:dyDescent="0.35">
      <c r="A21" s="79"/>
      <c r="B21" s="74" t="s">
        <v>49</v>
      </c>
      <c r="C21" s="92" t="s">
        <v>18</v>
      </c>
      <c r="D21" s="125"/>
      <c r="E21" s="86">
        <f t="shared" ca="1" si="5"/>
        <v>0</v>
      </c>
      <c r="F21" s="20">
        <v>5.85</v>
      </c>
      <c r="G21" s="126">
        <f t="shared" si="6"/>
        <v>0</v>
      </c>
      <c r="H21" s="126">
        <f t="shared" ca="1" si="7"/>
        <v>0</v>
      </c>
      <c r="I21" s="127">
        <f t="shared" si="8"/>
        <v>0</v>
      </c>
      <c r="J21" s="127">
        <f t="shared" ca="1" si="9"/>
        <v>0</v>
      </c>
      <c r="K21" s="55"/>
      <c r="L21" s="79"/>
      <c r="M21" s="43" t="s">
        <v>50</v>
      </c>
      <c r="N21" s="58">
        <f>SUM(G30:G37)</f>
        <v>5250.7641999999996</v>
      </c>
      <c r="O21" s="126">
        <f ca="1">INDIRECT("'" &amp; $S$2 &amp; "'!O" &amp; ROW()) + N21</f>
        <v>69721.503299999997</v>
      </c>
      <c r="Q21" s="79"/>
      <c r="R21" s="79"/>
    </row>
    <row r="22" spans="1:18" ht="14.15" customHeight="1" x14ac:dyDescent="0.35">
      <c r="A22" s="79"/>
      <c r="B22" s="74" t="s">
        <v>51</v>
      </c>
      <c r="C22" s="92" t="s">
        <v>18</v>
      </c>
      <c r="D22" s="125">
        <v>21258.6</v>
      </c>
      <c r="E22" s="86">
        <f t="shared" ca="1" si="5"/>
        <v>238224.69999999998</v>
      </c>
      <c r="F22" s="20">
        <v>1.03</v>
      </c>
      <c r="G22" s="126">
        <f t="shared" si="6"/>
        <v>21896.358</v>
      </c>
      <c r="H22" s="126">
        <f t="shared" ca="1" si="7"/>
        <v>245371.44100000002</v>
      </c>
      <c r="I22" s="127">
        <f t="shared" si="8"/>
        <v>520.20134047535726</v>
      </c>
      <c r="J22" s="127">
        <f t="shared" ca="1" si="9"/>
        <v>449.78730400596214</v>
      </c>
      <c r="K22" s="55">
        <v>1000</v>
      </c>
      <c r="L22" s="79"/>
      <c r="M22" s="49" t="s">
        <v>52</v>
      </c>
      <c r="N22" s="58">
        <f>SUM(G40:G53)-G51</f>
        <v>10747.4791</v>
      </c>
      <c r="O22" s="126">
        <f ca="1">INDIRECT("'" &amp; $S$2 &amp; "'!O" &amp; ROW()) + N22</f>
        <v>140118.15290000002</v>
      </c>
      <c r="Q22" s="79"/>
      <c r="R22" s="79"/>
    </row>
    <row r="23" spans="1:18" ht="14.15" customHeight="1" x14ac:dyDescent="0.35">
      <c r="A23" s="79"/>
      <c r="B23" s="74" t="s">
        <v>29</v>
      </c>
      <c r="C23" s="92" t="s">
        <v>18</v>
      </c>
      <c r="D23" s="125">
        <v>500</v>
      </c>
      <c r="E23" s="86">
        <f t="shared" ca="1" si="5"/>
        <v>4975</v>
      </c>
      <c r="F23" s="20">
        <v>5.83</v>
      </c>
      <c r="G23" s="126">
        <f t="shared" si="6"/>
        <v>2915</v>
      </c>
      <c r="H23" s="126">
        <f t="shared" ca="1" si="7"/>
        <v>29004.25</v>
      </c>
      <c r="I23" s="127">
        <f t="shared" si="8"/>
        <v>12.235079931777195</v>
      </c>
      <c r="J23" s="127">
        <f t="shared" ca="1" si="9"/>
        <v>9.3931982595829151</v>
      </c>
      <c r="K23" s="55">
        <v>13</v>
      </c>
      <c r="L23" s="79"/>
      <c r="M23" s="52" t="s">
        <v>53</v>
      </c>
      <c r="N23" s="112">
        <f>SUM(N19:N22)</f>
        <v>188740.65689999997</v>
      </c>
      <c r="O23" s="113">
        <f ca="1">SUM(O19:O22)</f>
        <v>1982279.6035</v>
      </c>
      <c r="Q23" s="79"/>
      <c r="R23" s="79"/>
    </row>
    <row r="24" spans="1:18" ht="14.15" customHeight="1" x14ac:dyDescent="0.35">
      <c r="A24" s="79"/>
      <c r="B24" s="74" t="s">
        <v>54</v>
      </c>
      <c r="C24" s="92" t="s">
        <v>18</v>
      </c>
      <c r="D24" s="125"/>
      <c r="E24" s="86">
        <f t="shared" ca="1" si="5"/>
        <v>7911.0899999999992</v>
      </c>
      <c r="F24" s="20">
        <v>8</v>
      </c>
      <c r="G24" s="126">
        <f t="shared" si="6"/>
        <v>0</v>
      </c>
      <c r="H24" s="126">
        <f t="shared" ca="1" si="7"/>
        <v>63288.719999999994</v>
      </c>
      <c r="I24" s="127">
        <f t="shared" si="8"/>
        <v>0</v>
      </c>
      <c r="J24" s="127">
        <f t="shared" ca="1" si="9"/>
        <v>14.93677121998066</v>
      </c>
      <c r="K24" s="55">
        <v>2.8</v>
      </c>
      <c r="L24" s="79"/>
      <c r="P24" s="79"/>
      <c r="Q24" s="79"/>
      <c r="R24" s="79"/>
    </row>
    <row r="25" spans="1:18" ht="14.15" customHeight="1" x14ac:dyDescent="0.35">
      <c r="A25" s="79"/>
      <c r="B25" s="74" t="s">
        <v>55</v>
      </c>
      <c r="C25" s="92" t="s">
        <v>18</v>
      </c>
      <c r="D25" s="125">
        <v>634.11</v>
      </c>
      <c r="E25" s="86">
        <f t="shared" ca="1" si="5"/>
        <v>13432.94</v>
      </c>
      <c r="F25" s="20">
        <v>5.85</v>
      </c>
      <c r="G25" s="126">
        <f t="shared" si="6"/>
        <v>3709.5434999999998</v>
      </c>
      <c r="H25" s="126">
        <f t="shared" ca="1" si="7"/>
        <v>78582.698999999979</v>
      </c>
      <c r="I25" s="127">
        <f t="shared" si="8"/>
        <v>15.516773071078473</v>
      </c>
      <c r="J25" s="127">
        <f t="shared" ca="1" si="9"/>
        <v>25.362466056096824</v>
      </c>
      <c r="K25" s="55">
        <v>28</v>
      </c>
      <c r="L25" s="79"/>
      <c r="M25" s="56" t="s">
        <v>56</v>
      </c>
      <c r="N25" s="56" t="s">
        <v>9</v>
      </c>
      <c r="O25" s="56"/>
      <c r="P25" s="56" t="s">
        <v>10</v>
      </c>
      <c r="Q25" s="56"/>
      <c r="R25" s="79"/>
    </row>
    <row r="26" spans="1:18" ht="14.15" customHeight="1" x14ac:dyDescent="0.35">
      <c r="A26" s="79"/>
      <c r="B26" s="74" t="s">
        <v>58</v>
      </c>
      <c r="C26" s="103" t="s">
        <v>36</v>
      </c>
      <c r="D26" s="125"/>
      <c r="E26" s="86">
        <f t="shared" ca="1" si="5"/>
        <v>0</v>
      </c>
      <c r="F26" s="20">
        <v>6.98</v>
      </c>
      <c r="G26" s="126">
        <f t="shared" si="6"/>
        <v>0</v>
      </c>
      <c r="H26" s="126">
        <f t="shared" ca="1" si="7"/>
        <v>0</v>
      </c>
      <c r="I26" s="127">
        <f t="shared" si="8"/>
        <v>0</v>
      </c>
      <c r="J26" s="127">
        <f t="shared" ca="1" si="9"/>
        <v>0</v>
      </c>
      <c r="K26" s="55">
        <v>21.3</v>
      </c>
      <c r="L26" s="79"/>
      <c r="M26" s="43" t="s">
        <v>46</v>
      </c>
      <c r="N26" s="114">
        <f>IF($N$9=0,0,N19/$N$9*1000)</f>
        <v>95.469870183141268</v>
      </c>
      <c r="O26" s="44" t="s">
        <v>59</v>
      </c>
      <c r="P26" s="114">
        <f ca="1">IF($O$9=0,0,O19/$O$9*1000)</f>
        <v>62.187716078669233</v>
      </c>
      <c r="Q26" s="44" t="s">
        <v>59</v>
      </c>
      <c r="R26" s="79"/>
    </row>
    <row r="27" spans="1:18" ht="14.15" customHeight="1" x14ac:dyDescent="0.35">
      <c r="A27" s="79"/>
      <c r="B27" s="74" t="s">
        <v>86</v>
      </c>
      <c r="C27" s="103" t="s">
        <v>36</v>
      </c>
      <c r="D27" s="75"/>
      <c r="E27" s="86">
        <f t="shared" ca="1" si="5"/>
        <v>22.22</v>
      </c>
      <c r="F27" s="115"/>
      <c r="G27" s="126">
        <f t="shared" si="6"/>
        <v>0</v>
      </c>
      <c r="H27" s="126">
        <f t="shared" ca="1" si="7"/>
        <v>0</v>
      </c>
      <c r="I27" s="127">
        <f t="shared" si="8"/>
        <v>0</v>
      </c>
      <c r="J27" s="127">
        <f t="shared" ca="1" si="9"/>
        <v>4.1953138759383383E-2</v>
      </c>
      <c r="K27" s="55">
        <v>3.6</v>
      </c>
      <c r="L27" s="108"/>
      <c r="M27" s="43" t="s">
        <v>48</v>
      </c>
      <c r="N27" s="114">
        <f>IF($N$10=0,0,N20/$N$16)</f>
        <v>0.84399714188532793</v>
      </c>
      <c r="O27" s="44" t="s">
        <v>60</v>
      </c>
      <c r="P27" s="114">
        <f ca="1">IF($O$10=0,0,O20/$O$16)</f>
        <v>1.0003870582987766</v>
      </c>
      <c r="Q27" s="44" t="s">
        <v>60</v>
      </c>
    </row>
    <row r="28" spans="1:18" ht="14.5" x14ac:dyDescent="0.35">
      <c r="A28" s="79"/>
      <c r="B28" s="82" t="s">
        <v>62</v>
      </c>
      <c r="C28" s="82"/>
      <c r="D28" s="82" t="s">
        <v>5</v>
      </c>
      <c r="E28" s="82"/>
      <c r="F28" s="82" t="s">
        <v>6</v>
      </c>
      <c r="G28" s="82"/>
      <c r="H28" s="82"/>
      <c r="I28" s="82" t="s">
        <v>40</v>
      </c>
      <c r="J28" s="82"/>
      <c r="K28" s="82"/>
      <c r="L28" s="79"/>
      <c r="M28" s="43" t="s">
        <v>50</v>
      </c>
      <c r="N28" s="114">
        <f>IF($N$16=0,0,N21/$N$16)</f>
        <v>0.12848703937982828</v>
      </c>
      <c r="O28" s="44" t="s">
        <v>60</v>
      </c>
      <c r="P28" s="114">
        <f ca="1">IF($O$16=0,0,O21/$O$16)</f>
        <v>0.13163977958855563</v>
      </c>
      <c r="Q28" s="44" t="s">
        <v>60</v>
      </c>
    </row>
    <row r="29" spans="1:18" ht="14.5" x14ac:dyDescent="0.35">
      <c r="A29" s="79"/>
      <c r="B29" s="10"/>
      <c r="C29" s="10"/>
      <c r="D29" s="10" t="s">
        <v>12</v>
      </c>
      <c r="E29" s="10" t="s">
        <v>13</v>
      </c>
      <c r="F29" s="10" t="s">
        <v>14</v>
      </c>
      <c r="G29" s="10" t="s">
        <v>0</v>
      </c>
      <c r="H29" s="10" t="s">
        <v>13</v>
      </c>
      <c r="I29" s="10" t="s">
        <v>0</v>
      </c>
      <c r="J29" s="10" t="s">
        <v>13</v>
      </c>
      <c r="K29" s="10" t="s">
        <v>15</v>
      </c>
      <c r="L29" s="79"/>
      <c r="M29" s="49" t="s">
        <v>52</v>
      </c>
      <c r="N29" s="116">
        <f>IF($N$16=0,0,N22/$N$16)</f>
        <v>0.26299253170720965</v>
      </c>
      <c r="O29" s="117" t="s">
        <v>60</v>
      </c>
      <c r="P29" s="116">
        <f ca="1">IF($O$16=0,0,O22/$O$16)</f>
        <v>0.26455428943844278</v>
      </c>
      <c r="Q29" s="117" t="s">
        <v>60</v>
      </c>
    </row>
    <row r="30" spans="1:18" ht="14.15" customHeight="1" x14ac:dyDescent="0.35">
      <c r="A30" s="79"/>
      <c r="B30" s="88" t="s">
        <v>63</v>
      </c>
      <c r="C30" s="89" t="s">
        <v>18</v>
      </c>
      <c r="D30" s="125"/>
      <c r="E30" s="86">
        <f t="shared" ref="E30:E36" ca="1" si="10">INDIRECT("'" &amp; $S$2 &amp; "'!E" &amp; ROW()) + D30</f>
        <v>3305</v>
      </c>
      <c r="F30" s="20">
        <v>1.03</v>
      </c>
      <c r="G30" s="126">
        <f t="shared" ref="G30:G36" si="11">D30*F30</f>
        <v>0</v>
      </c>
      <c r="H30" s="126">
        <f t="shared" ref="H30:H36" ca="1" si="12">INDIRECT("'" &amp; $S$2 &amp; "'!H" &amp; ROW()) + G30</f>
        <v>3404.15</v>
      </c>
      <c r="I30" s="128">
        <f t="shared" ref="I30:I36" si="13">IF($N$16=0,0,D30/$N$16*1000)</f>
        <v>0</v>
      </c>
      <c r="J30" s="128">
        <f t="shared" ref="J30:J36" ca="1" si="14">IF($O$16=0,0,E30/$O$16*1000)</f>
        <v>6.2401045724465387</v>
      </c>
      <c r="K30" s="23">
        <v>0</v>
      </c>
      <c r="L30" s="79"/>
      <c r="M30" s="52" t="s">
        <v>64</v>
      </c>
      <c r="N30" s="119">
        <f>IF($N$16=0,0,N23/$N$16)</f>
        <v>4.6185140470952692</v>
      </c>
      <c r="O30" s="120" t="s">
        <v>60</v>
      </c>
      <c r="P30" s="119">
        <f ca="1">IF($O$16=0,0,O23/$O$16)</f>
        <v>3.7427025772066145</v>
      </c>
      <c r="Q30" s="121" t="s">
        <v>60</v>
      </c>
    </row>
    <row r="31" spans="1:18" ht="14.15" customHeight="1" x14ac:dyDescent="0.35">
      <c r="A31" s="79"/>
      <c r="B31" s="74" t="s">
        <v>29</v>
      </c>
      <c r="C31" s="92" t="s">
        <v>18</v>
      </c>
      <c r="D31" s="125">
        <v>25</v>
      </c>
      <c r="E31" s="86">
        <f t="shared" ca="1" si="10"/>
        <v>300</v>
      </c>
      <c r="F31" s="20">
        <v>5.83</v>
      </c>
      <c r="G31" s="126">
        <f t="shared" si="11"/>
        <v>145.75</v>
      </c>
      <c r="H31" s="126">
        <f t="shared" ca="1" si="12"/>
        <v>1749</v>
      </c>
      <c r="I31" s="128">
        <f t="shared" si="13"/>
        <v>0.61175399658885976</v>
      </c>
      <c r="J31" s="128">
        <f t="shared" ca="1" si="14"/>
        <v>0.56642401565324096</v>
      </c>
      <c r="K31" s="23">
        <v>1.5</v>
      </c>
      <c r="L31" s="79"/>
      <c r="M31" s="10"/>
    </row>
    <row r="32" spans="1:18" ht="14.15" customHeight="1" x14ac:dyDescent="0.35">
      <c r="A32" s="79"/>
      <c r="B32" s="74" t="s">
        <v>65</v>
      </c>
      <c r="C32" s="92" t="s">
        <v>18</v>
      </c>
      <c r="D32" s="125">
        <v>470.58</v>
      </c>
      <c r="E32" s="86">
        <f t="shared" ca="1" si="10"/>
        <v>5917.67</v>
      </c>
      <c r="F32" s="20">
        <v>8.99</v>
      </c>
      <c r="G32" s="126">
        <f t="shared" si="11"/>
        <v>4230.5141999999996</v>
      </c>
      <c r="H32" s="126">
        <f t="shared" ca="1" si="12"/>
        <v>53199.853300000002</v>
      </c>
      <c r="I32" s="128">
        <f t="shared" si="13"/>
        <v>11.515167828591425</v>
      </c>
      <c r="J32" s="128">
        <f t="shared" ca="1" si="14"/>
        <v>11.17303468236905</v>
      </c>
      <c r="K32" s="23">
        <v>8</v>
      </c>
      <c r="L32" s="79"/>
    </row>
    <row r="33" spans="1:18" ht="14.15" customHeight="1" x14ac:dyDescent="0.35">
      <c r="A33" s="79"/>
      <c r="B33" s="102" t="s">
        <v>66</v>
      </c>
      <c r="C33" s="103" t="s">
        <v>18</v>
      </c>
      <c r="D33" s="125"/>
      <c r="E33" s="86">
        <f t="shared" ca="1" si="10"/>
        <v>0</v>
      </c>
      <c r="F33" s="20">
        <v>24</v>
      </c>
      <c r="G33" s="126">
        <f t="shared" si="11"/>
        <v>0</v>
      </c>
      <c r="H33" s="126">
        <f t="shared" ca="1" si="12"/>
        <v>0</v>
      </c>
      <c r="I33" s="128">
        <f t="shared" si="13"/>
        <v>0</v>
      </c>
      <c r="J33" s="128">
        <f t="shared" ca="1" si="14"/>
        <v>0</v>
      </c>
      <c r="K33" s="23">
        <v>0</v>
      </c>
      <c r="L33" s="79"/>
      <c r="M33" s="79"/>
      <c r="N33" s="79"/>
      <c r="O33" s="79"/>
      <c r="P33" s="79"/>
      <c r="Q33" s="79"/>
      <c r="R33" s="79"/>
    </row>
    <row r="34" spans="1:18" ht="14.15" customHeight="1" x14ac:dyDescent="0.35">
      <c r="A34" s="79"/>
      <c r="B34" s="102" t="s">
        <v>67</v>
      </c>
      <c r="C34" s="103" t="s">
        <v>36</v>
      </c>
      <c r="D34" s="75">
        <v>50</v>
      </c>
      <c r="E34" s="86">
        <f t="shared" ca="1" si="10"/>
        <v>1025</v>
      </c>
      <c r="F34" s="20">
        <v>5.83</v>
      </c>
      <c r="G34" s="126">
        <f t="shared" si="11"/>
        <v>291.5</v>
      </c>
      <c r="H34" s="126">
        <f t="shared" ca="1" si="12"/>
        <v>5975.75</v>
      </c>
      <c r="I34" s="128">
        <f t="shared" si="13"/>
        <v>1.2235079931777195</v>
      </c>
      <c r="J34" s="128">
        <f t="shared" ca="1" si="14"/>
        <v>1.9352820534819068</v>
      </c>
      <c r="K34" s="23">
        <v>2</v>
      </c>
      <c r="L34" s="79"/>
      <c r="M34" s="79"/>
      <c r="N34" s="79"/>
      <c r="O34" s="79"/>
      <c r="P34" s="79"/>
      <c r="Q34" s="79"/>
      <c r="R34" s="79"/>
    </row>
    <row r="35" spans="1:18" ht="14.15" customHeight="1" x14ac:dyDescent="0.35">
      <c r="A35" s="79"/>
      <c r="B35" s="102" t="s">
        <v>68</v>
      </c>
      <c r="C35" s="103" t="s">
        <v>18</v>
      </c>
      <c r="D35" s="75">
        <v>75</v>
      </c>
      <c r="E35" s="86">
        <f t="shared" ca="1" si="10"/>
        <v>875</v>
      </c>
      <c r="F35" s="20">
        <v>5.83</v>
      </c>
      <c r="G35" s="126">
        <f t="shared" si="11"/>
        <v>437.25</v>
      </c>
      <c r="H35" s="126">
        <f t="shared" ca="1" si="12"/>
        <v>5101.25</v>
      </c>
      <c r="I35" s="128">
        <f t="shared" si="13"/>
        <v>1.8352619897665792</v>
      </c>
      <c r="J35" s="128">
        <f t="shared" ca="1" si="14"/>
        <v>1.6520700456552861</v>
      </c>
      <c r="K35" s="23">
        <v>1</v>
      </c>
      <c r="L35" s="79"/>
      <c r="M35" s="79"/>
      <c r="N35" s="79"/>
      <c r="O35" s="79"/>
      <c r="P35" s="79"/>
      <c r="Q35" s="79"/>
      <c r="R35" s="79"/>
    </row>
    <row r="36" spans="1:18" ht="14.15" customHeight="1" x14ac:dyDescent="0.35">
      <c r="A36" s="79"/>
      <c r="B36" s="102" t="s">
        <v>69</v>
      </c>
      <c r="C36" s="103" t="s">
        <v>18</v>
      </c>
      <c r="D36" s="75">
        <v>25</v>
      </c>
      <c r="E36" s="86">
        <f t="shared" ca="1" si="10"/>
        <v>50</v>
      </c>
      <c r="F36" s="20">
        <v>5.83</v>
      </c>
      <c r="G36" s="126">
        <f t="shared" si="11"/>
        <v>145.75</v>
      </c>
      <c r="H36" s="126">
        <f t="shared" ca="1" si="12"/>
        <v>291.5</v>
      </c>
      <c r="I36" s="128">
        <f t="shared" si="13"/>
        <v>0.61175399658885976</v>
      </c>
      <c r="J36" s="128">
        <f t="shared" ca="1" si="14"/>
        <v>9.4404002608873494E-2</v>
      </c>
      <c r="K36" s="23">
        <v>1</v>
      </c>
      <c r="L36" s="79"/>
      <c r="M36" s="79"/>
      <c r="N36" s="79"/>
      <c r="O36" s="79"/>
      <c r="P36" s="79"/>
      <c r="Q36" s="79"/>
      <c r="R36" s="79"/>
    </row>
    <row r="37" spans="1:18" ht="8.25" customHeight="1" x14ac:dyDescent="0.3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R37" s="79"/>
    </row>
    <row r="38" spans="1:18" ht="14.5" x14ac:dyDescent="0.35">
      <c r="A38" s="79"/>
      <c r="B38" s="82" t="s">
        <v>70</v>
      </c>
      <c r="C38" s="82"/>
      <c r="D38" s="82" t="s">
        <v>5</v>
      </c>
      <c r="E38" s="82"/>
      <c r="F38" s="82" t="s">
        <v>71</v>
      </c>
      <c r="G38" s="82"/>
      <c r="H38" s="82"/>
      <c r="I38" s="82" t="s">
        <v>72</v>
      </c>
      <c r="J38" s="82"/>
      <c r="K38" s="82"/>
      <c r="L38" s="108"/>
      <c r="M38" s="108"/>
      <c r="N38" s="108"/>
      <c r="O38" s="108"/>
      <c r="P38" s="108"/>
      <c r="Q38" s="108"/>
      <c r="R38" s="79"/>
    </row>
    <row r="39" spans="1:18" ht="15.75" customHeight="1" x14ac:dyDescent="0.35">
      <c r="A39" s="79"/>
      <c r="B39" s="10"/>
      <c r="C39" s="10"/>
      <c r="D39" s="10" t="s">
        <v>12</v>
      </c>
      <c r="E39" s="10" t="s">
        <v>13</v>
      </c>
      <c r="F39" s="10" t="s">
        <v>14</v>
      </c>
      <c r="G39" s="10" t="s">
        <v>0</v>
      </c>
      <c r="H39" s="10" t="s">
        <v>13</v>
      </c>
      <c r="I39" s="10" t="s">
        <v>0</v>
      </c>
      <c r="J39" s="10" t="s">
        <v>13</v>
      </c>
      <c r="K39" s="10" t="s">
        <v>15</v>
      </c>
      <c r="L39" s="79"/>
      <c r="M39" s="79"/>
      <c r="N39" s="79"/>
      <c r="O39" s="79"/>
      <c r="P39" s="79"/>
      <c r="Q39" s="79"/>
      <c r="R39" s="79"/>
    </row>
    <row r="40" spans="1:18" ht="12.75" customHeight="1" x14ac:dyDescent="0.35">
      <c r="A40" s="79"/>
      <c r="B40" s="88" t="s">
        <v>29</v>
      </c>
      <c r="C40" s="89" t="s">
        <v>18</v>
      </c>
      <c r="D40" s="125">
        <v>525</v>
      </c>
      <c r="E40" s="86">
        <f t="shared" ref="E40:E53" ca="1" si="15">INDIRECT("'" &amp; $S$2 &amp; "'!E" &amp; ROW()) + D40</f>
        <v>2625</v>
      </c>
      <c r="F40" s="20">
        <v>5.83</v>
      </c>
      <c r="G40" s="126">
        <f t="shared" ref="G40:G53" si="16">D40*F40</f>
        <v>3060.75</v>
      </c>
      <c r="H40" s="126">
        <f t="shared" ref="H40:H53" ca="1" si="17">INDIRECT("'" &amp; $S$2 &amp; "'!H" &amp; ROW()) + G40</f>
        <v>15303.75</v>
      </c>
      <c r="I40" s="127">
        <f t="shared" ref="I40:I53" si="18">IF($N$16=0,0,D40/$N$16*1000)</f>
        <v>12.846833928366054</v>
      </c>
      <c r="J40" s="127">
        <f t="shared" ref="J40:J53" ca="1" si="19">IF($O$16=0,0,E40/$O$16*1000)</f>
        <v>4.9562101369658587</v>
      </c>
      <c r="K40" s="55">
        <v>6</v>
      </c>
      <c r="L40" s="79"/>
      <c r="M40" s="79"/>
      <c r="N40" s="79"/>
      <c r="O40" s="79"/>
      <c r="P40" s="79"/>
      <c r="Q40" s="79"/>
      <c r="R40" s="79"/>
    </row>
    <row r="41" spans="1:18" ht="12.75" customHeight="1" x14ac:dyDescent="0.35">
      <c r="A41" s="79"/>
      <c r="B41" s="74" t="s">
        <v>73</v>
      </c>
      <c r="C41" s="92" t="s">
        <v>18</v>
      </c>
      <c r="D41" s="125">
        <v>100</v>
      </c>
      <c r="E41" s="86">
        <f t="shared" ca="1" si="15"/>
        <v>1350</v>
      </c>
      <c r="F41" s="20">
        <v>37.840000000000003</v>
      </c>
      <c r="G41" s="126">
        <f t="shared" si="16"/>
        <v>3784.0000000000005</v>
      </c>
      <c r="H41" s="126">
        <f t="shared" ca="1" si="17"/>
        <v>51084.000000000007</v>
      </c>
      <c r="I41" s="127">
        <f t="shared" si="18"/>
        <v>2.447015986355439</v>
      </c>
      <c r="J41" s="127">
        <f t="shared" ca="1" si="19"/>
        <v>2.5489080704395848</v>
      </c>
      <c r="K41" s="55">
        <v>3</v>
      </c>
      <c r="L41" s="79"/>
      <c r="M41" s="79"/>
      <c r="N41" s="79"/>
      <c r="O41" s="79"/>
      <c r="P41" s="79"/>
      <c r="Q41" s="79"/>
      <c r="R41" s="79"/>
    </row>
    <row r="42" spans="1:18" ht="12.75" customHeight="1" x14ac:dyDescent="0.35">
      <c r="A42" s="79"/>
      <c r="B42" s="74" t="s">
        <v>74</v>
      </c>
      <c r="C42" s="92" t="s">
        <v>18</v>
      </c>
      <c r="D42" s="125"/>
      <c r="E42" s="86">
        <f t="shared" ca="1" si="15"/>
        <v>88.5</v>
      </c>
      <c r="F42" s="20">
        <v>21</v>
      </c>
      <c r="G42" s="126">
        <f t="shared" si="16"/>
        <v>0</v>
      </c>
      <c r="H42" s="126">
        <f t="shared" ca="1" si="17"/>
        <v>1858.5</v>
      </c>
      <c r="I42" s="127">
        <f t="shared" si="18"/>
        <v>0</v>
      </c>
      <c r="J42" s="127">
        <f t="shared" ca="1" si="19"/>
        <v>0.16709508461770609</v>
      </c>
      <c r="K42" s="55">
        <v>0.35</v>
      </c>
      <c r="L42" s="79"/>
      <c r="M42" s="129"/>
      <c r="N42" s="79"/>
      <c r="O42" s="79"/>
      <c r="P42" s="79"/>
      <c r="Q42" s="79"/>
      <c r="R42" s="79"/>
    </row>
    <row r="43" spans="1:18" ht="12.75" customHeight="1" x14ac:dyDescent="0.35">
      <c r="A43" s="79"/>
      <c r="B43" s="74" t="s">
        <v>75</v>
      </c>
      <c r="C43" s="92" t="s">
        <v>18</v>
      </c>
      <c r="D43" s="125">
        <v>285</v>
      </c>
      <c r="E43" s="86">
        <f t="shared" ca="1" si="15"/>
        <v>2865</v>
      </c>
      <c r="F43" s="20">
        <v>2.9</v>
      </c>
      <c r="G43" s="126">
        <f t="shared" si="16"/>
        <v>826.5</v>
      </c>
      <c r="H43" s="126">
        <f t="shared" ca="1" si="17"/>
        <v>8308.5</v>
      </c>
      <c r="I43" s="127">
        <f t="shared" si="18"/>
        <v>6.9739955611130009</v>
      </c>
      <c r="J43" s="127">
        <f t="shared" ca="1" si="19"/>
        <v>5.4093493494884521</v>
      </c>
      <c r="K43" s="55">
        <v>7</v>
      </c>
      <c r="L43" s="79"/>
      <c r="M43" s="129"/>
      <c r="N43" s="79"/>
      <c r="O43" s="79"/>
      <c r="P43" s="79"/>
      <c r="Q43" s="79"/>
      <c r="R43" s="79"/>
    </row>
    <row r="44" spans="1:18" ht="12.75" customHeight="1" x14ac:dyDescent="0.35">
      <c r="A44" s="79"/>
      <c r="B44" s="74" t="s">
        <v>76</v>
      </c>
      <c r="C44" s="92" t="s">
        <v>18</v>
      </c>
      <c r="D44" s="125">
        <v>15</v>
      </c>
      <c r="E44" s="86">
        <f t="shared" ca="1" si="15"/>
        <v>180</v>
      </c>
      <c r="F44" s="20">
        <v>24</v>
      </c>
      <c r="G44" s="126">
        <f t="shared" si="16"/>
        <v>360</v>
      </c>
      <c r="H44" s="126">
        <f t="shared" ca="1" si="17"/>
        <v>4320</v>
      </c>
      <c r="I44" s="127">
        <f t="shared" si="18"/>
        <v>0.36705239795331585</v>
      </c>
      <c r="J44" s="127">
        <f t="shared" ca="1" si="19"/>
        <v>0.33985440939194461</v>
      </c>
      <c r="K44" s="55">
        <v>0.3</v>
      </c>
      <c r="L44" s="79"/>
      <c r="M44" s="129"/>
      <c r="N44" s="79"/>
      <c r="O44" s="79"/>
      <c r="P44" s="79"/>
      <c r="Q44" s="79"/>
      <c r="R44" s="79"/>
    </row>
    <row r="45" spans="1:18" ht="12.75" customHeight="1" x14ac:dyDescent="0.35">
      <c r="A45" s="79"/>
      <c r="B45" s="74" t="s">
        <v>77</v>
      </c>
      <c r="C45" s="92" t="s">
        <v>18</v>
      </c>
      <c r="D45" s="125">
        <v>502.85</v>
      </c>
      <c r="E45" s="86">
        <f t="shared" ca="1" si="15"/>
        <v>9830.7199999999993</v>
      </c>
      <c r="F45" s="20">
        <v>0.64</v>
      </c>
      <c r="G45" s="126">
        <f t="shared" si="16"/>
        <v>321.82400000000001</v>
      </c>
      <c r="H45" s="126">
        <f t="shared" ca="1" si="17"/>
        <v>6291.6607999999997</v>
      </c>
      <c r="I45" s="127">
        <f t="shared" si="18"/>
        <v>12.304819887388327</v>
      </c>
      <c r="J45" s="127">
        <f t="shared" ca="1" si="19"/>
        <v>18.561186330542096</v>
      </c>
      <c r="K45" s="55">
        <v>12</v>
      </c>
      <c r="L45" s="79"/>
      <c r="M45" s="129"/>
      <c r="N45" s="79"/>
      <c r="O45" s="79"/>
      <c r="P45" s="79"/>
      <c r="Q45" s="79"/>
      <c r="R45" s="79"/>
    </row>
    <row r="46" spans="1:18" ht="12.75" customHeight="1" x14ac:dyDescent="0.35">
      <c r="A46" s="79"/>
      <c r="B46" s="74" t="s">
        <v>78</v>
      </c>
      <c r="C46" s="92" t="s">
        <v>18</v>
      </c>
      <c r="D46" s="125">
        <v>25</v>
      </c>
      <c r="E46" s="86">
        <f t="shared" ca="1" si="15"/>
        <v>137</v>
      </c>
      <c r="F46" s="20">
        <v>24</v>
      </c>
      <c r="G46" s="126">
        <f t="shared" si="16"/>
        <v>600</v>
      </c>
      <c r="H46" s="126">
        <f t="shared" ca="1" si="17"/>
        <v>3288</v>
      </c>
      <c r="I46" s="127">
        <f t="shared" si="18"/>
        <v>0.61175399658885976</v>
      </c>
      <c r="J46" s="127">
        <f t="shared" ca="1" si="19"/>
        <v>0.25866696714831339</v>
      </c>
      <c r="K46" s="55">
        <v>0.4</v>
      </c>
      <c r="L46" s="79"/>
      <c r="M46" s="129"/>
      <c r="N46" s="79"/>
      <c r="O46" s="79"/>
      <c r="P46" s="79"/>
      <c r="Q46" s="79"/>
      <c r="R46" s="79"/>
    </row>
    <row r="47" spans="1:18" ht="12.75" customHeight="1" x14ac:dyDescent="0.35">
      <c r="A47" s="79"/>
      <c r="B47" s="74" t="s">
        <v>79</v>
      </c>
      <c r="C47" s="92" t="s">
        <v>18</v>
      </c>
      <c r="D47" s="125"/>
      <c r="E47" s="86">
        <f t="shared" ca="1" si="15"/>
        <v>72</v>
      </c>
      <c r="F47" s="20">
        <v>41.96</v>
      </c>
      <c r="G47" s="126">
        <f t="shared" si="16"/>
        <v>0</v>
      </c>
      <c r="H47" s="126">
        <f t="shared" ca="1" si="17"/>
        <v>3021.12</v>
      </c>
      <c r="I47" s="127">
        <f t="shared" si="18"/>
        <v>0</v>
      </c>
      <c r="J47" s="127">
        <f t="shared" ca="1" si="19"/>
        <v>0.13594176375677783</v>
      </c>
      <c r="K47" s="55">
        <v>0.2</v>
      </c>
      <c r="L47" s="79"/>
      <c r="M47" s="129"/>
      <c r="N47" s="79"/>
      <c r="O47" s="79"/>
      <c r="P47" s="79"/>
      <c r="Q47" s="79"/>
      <c r="R47" s="79"/>
    </row>
    <row r="48" spans="1:18" ht="12.75" customHeight="1" x14ac:dyDescent="0.35">
      <c r="B48" s="74" t="s">
        <v>80</v>
      </c>
      <c r="C48" s="92" t="s">
        <v>18</v>
      </c>
      <c r="D48" s="125">
        <v>48.89</v>
      </c>
      <c r="E48" s="86">
        <f t="shared" ca="1" si="15"/>
        <v>1087.7700000000002</v>
      </c>
      <c r="F48" s="20">
        <v>23.51</v>
      </c>
      <c r="G48" s="126">
        <f t="shared" si="16"/>
        <v>1149.4039</v>
      </c>
      <c r="H48" s="126">
        <f t="shared" ca="1" si="17"/>
        <v>25573.472700000006</v>
      </c>
      <c r="I48" s="127">
        <f t="shared" si="18"/>
        <v>1.1963461157291742</v>
      </c>
      <c r="J48" s="127">
        <f t="shared" ca="1" si="19"/>
        <v>2.053796838357087</v>
      </c>
      <c r="K48" s="55">
        <v>2</v>
      </c>
      <c r="M48" s="129"/>
    </row>
    <row r="49" spans="2:13" ht="12.75" customHeight="1" x14ac:dyDescent="0.35">
      <c r="B49" s="74" t="s">
        <v>81</v>
      </c>
      <c r="C49" s="92" t="s">
        <v>18</v>
      </c>
      <c r="D49" s="125"/>
      <c r="E49" s="86">
        <f t="shared" ca="1" si="15"/>
        <v>50</v>
      </c>
      <c r="F49" s="20">
        <v>41.96</v>
      </c>
      <c r="G49" s="126">
        <f t="shared" si="16"/>
        <v>0</v>
      </c>
      <c r="H49" s="126">
        <f t="shared" ca="1" si="17"/>
        <v>2098</v>
      </c>
      <c r="I49" s="127">
        <f t="shared" si="18"/>
        <v>0</v>
      </c>
      <c r="J49" s="127">
        <f t="shared" ca="1" si="19"/>
        <v>9.4404002608873494E-2</v>
      </c>
      <c r="K49" s="55">
        <v>0.5</v>
      </c>
      <c r="M49" s="129"/>
    </row>
    <row r="50" spans="2:13" ht="12.75" customHeight="1" x14ac:dyDescent="0.35">
      <c r="B50" s="74" t="s">
        <v>82</v>
      </c>
      <c r="C50" s="130" t="s">
        <v>18</v>
      </c>
      <c r="D50" s="125">
        <v>10.8</v>
      </c>
      <c r="E50" s="86">
        <f t="shared" ca="1" si="15"/>
        <v>116.86</v>
      </c>
      <c r="F50" s="20">
        <v>43.43</v>
      </c>
      <c r="G50" s="126">
        <f t="shared" si="16"/>
        <v>469.04400000000004</v>
      </c>
      <c r="H50" s="126">
        <f t="shared" ca="1" si="17"/>
        <v>5075.2298000000001</v>
      </c>
      <c r="I50" s="127">
        <f t="shared" si="18"/>
        <v>0.26427772652638742</v>
      </c>
      <c r="J50" s="126">
        <f t="shared" ca="1" si="19"/>
        <v>0.22064103489745915</v>
      </c>
      <c r="K50" s="55">
        <v>0.05</v>
      </c>
    </row>
    <row r="51" spans="2:13" ht="12.75" customHeight="1" x14ac:dyDescent="0.35">
      <c r="B51" s="74" t="s">
        <v>63</v>
      </c>
      <c r="C51" s="130" t="s">
        <v>18</v>
      </c>
      <c r="D51" s="75">
        <v>1101.67</v>
      </c>
      <c r="E51" s="86">
        <f t="shared" ca="1" si="15"/>
        <v>13220.140000000001</v>
      </c>
      <c r="F51" s="76">
        <v>1.03</v>
      </c>
      <c r="G51" s="126">
        <f t="shared" si="16"/>
        <v>1134.7201</v>
      </c>
      <c r="H51" s="126">
        <f t="shared" ca="1" si="17"/>
        <v>13616.744200000003</v>
      </c>
      <c r="I51" s="127">
        <f t="shared" si="18"/>
        <v>26.958041016881968</v>
      </c>
      <c r="J51" s="126">
        <f t="shared" ca="1" si="19"/>
        <v>24.960682620993463</v>
      </c>
      <c r="K51" s="55">
        <v>0</v>
      </c>
    </row>
    <row r="52" spans="2:13" ht="12.75" customHeight="1" x14ac:dyDescent="0.35">
      <c r="B52" s="74" t="s">
        <v>83</v>
      </c>
      <c r="C52" s="130" t="s">
        <v>36</v>
      </c>
      <c r="D52" s="75"/>
      <c r="E52" s="86">
        <f t="shared" ca="1" si="15"/>
        <v>360</v>
      </c>
      <c r="F52" s="76">
        <v>26.1</v>
      </c>
      <c r="G52" s="20">
        <f t="shared" si="16"/>
        <v>0</v>
      </c>
      <c r="H52" s="126">
        <f t="shared" ca="1" si="17"/>
        <v>9396</v>
      </c>
      <c r="I52" s="127">
        <f t="shared" si="18"/>
        <v>0</v>
      </c>
      <c r="J52" s="126">
        <f t="shared" ca="1" si="19"/>
        <v>0.67970881878388922</v>
      </c>
      <c r="K52" s="23">
        <v>2.5</v>
      </c>
    </row>
    <row r="53" spans="2:13" ht="12.75" customHeight="1" x14ac:dyDescent="0.35">
      <c r="B53" s="74" t="s">
        <v>91</v>
      </c>
      <c r="C53" s="130" t="s">
        <v>36</v>
      </c>
      <c r="D53" s="75">
        <v>6.66</v>
      </c>
      <c r="E53" s="86">
        <f t="shared" ca="1" si="15"/>
        <v>84.419999999999987</v>
      </c>
      <c r="F53" s="76">
        <v>26.42</v>
      </c>
      <c r="G53" s="131">
        <f t="shared" si="16"/>
        <v>175.95720000000003</v>
      </c>
      <c r="H53" s="126">
        <f t="shared" ca="1" si="17"/>
        <v>2230.3763999999996</v>
      </c>
      <c r="I53" s="127">
        <f t="shared" si="18"/>
        <v>0.16297126469127224</v>
      </c>
      <c r="J53" s="126">
        <f t="shared" ca="1" si="19"/>
        <v>0.15939171800482202</v>
      </c>
      <c r="K53" s="23">
        <v>0.3</v>
      </c>
    </row>
  </sheetData>
  <mergeCells count="6">
    <mergeCell ref="F16:H16"/>
    <mergeCell ref="I16:J16"/>
    <mergeCell ref="C3:G3"/>
    <mergeCell ref="D4:E4"/>
    <mergeCell ref="F4:H4"/>
    <mergeCell ref="I4:J4"/>
  </mergeCells>
  <printOptions horizontalCentered="1" verticalCentered="1"/>
  <pageMargins left="0" right="0" top="0" bottom="0" header="0.511811023622047" footer="0.511811023622047"/>
  <pageSetup paperSize="9" scale="80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54"/>
  <sheetViews>
    <sheetView showGridLines="0" tabSelected="1" topLeftCell="D1" zoomScaleNormal="100" workbookViewId="0">
      <selection activeCell="M4" sqref="M4:Q30"/>
    </sheetView>
  </sheetViews>
  <sheetFormatPr defaultColWidth="9.1796875" defaultRowHeight="15" customHeight="1" x14ac:dyDescent="0.35"/>
  <cols>
    <col min="1" max="1" width="1.81640625" style="78" customWidth="1"/>
    <col min="2" max="2" width="21.54296875" style="78" customWidth="1"/>
    <col min="3" max="3" width="3.54296875" style="78" customWidth="1"/>
    <col min="4" max="4" width="10.453125" style="78" customWidth="1"/>
    <col min="5" max="5" width="7.7265625" style="78" customWidth="1"/>
    <col min="6" max="6" width="12" style="78" customWidth="1"/>
    <col min="7" max="7" width="9.453125" style="78" customWidth="1"/>
    <col min="8" max="8" width="9.81640625" style="78" customWidth="1"/>
    <col min="9" max="9" width="9.26953125" style="78" customWidth="1"/>
    <col min="10" max="10" width="7.54296875" style="78" customWidth="1"/>
    <col min="11" max="11" width="6.54296875" style="78" customWidth="1"/>
    <col min="12" max="12" width="5.453125" style="78" customWidth="1"/>
    <col min="13" max="13" width="22.7265625" style="78" customWidth="1"/>
    <col min="14" max="14" width="13.453125" style="78" customWidth="1"/>
    <col min="15" max="15" width="13.81640625" style="78" customWidth="1"/>
    <col min="16" max="16" width="13.54296875" style="78" customWidth="1"/>
    <col min="17" max="17" width="10.26953125" style="78" customWidth="1"/>
    <col min="18" max="1024" width="9.08984375" style="78"/>
  </cols>
  <sheetData>
    <row r="1" spans="1:19" ht="7.5" customHeight="1" x14ac:dyDescent="0.35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9" ht="20.25" customHeight="1" x14ac:dyDescent="0.35">
      <c r="A2" s="79"/>
      <c r="B2" s="80" t="s">
        <v>0</v>
      </c>
      <c r="C2" s="79"/>
      <c r="D2" s="79"/>
      <c r="E2" s="132" t="s">
        <v>1</v>
      </c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79"/>
      <c r="R2" s="79"/>
      <c r="S2" s="78" t="s">
        <v>104</v>
      </c>
    </row>
    <row r="3" spans="1:19" ht="10.5" customHeight="1" x14ac:dyDescent="0.35">
      <c r="A3" s="79"/>
      <c r="B3" s="81">
        <v>10</v>
      </c>
      <c r="C3" s="138" t="s">
        <v>105</v>
      </c>
      <c r="D3" s="138"/>
      <c r="E3" s="138"/>
      <c r="F3" s="138"/>
      <c r="G3" s="138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 spans="1:19" ht="14.5" x14ac:dyDescent="0.35">
      <c r="A4" s="79"/>
      <c r="B4" s="82" t="s">
        <v>3</v>
      </c>
      <c r="C4" s="82"/>
      <c r="D4" s="136" t="s">
        <v>5</v>
      </c>
      <c r="E4" s="136"/>
      <c r="F4" s="136" t="s">
        <v>6</v>
      </c>
      <c r="G4" s="136"/>
      <c r="H4" s="136"/>
      <c r="I4" s="136" t="s">
        <v>7</v>
      </c>
      <c r="J4" s="136"/>
      <c r="K4" s="82"/>
      <c r="L4" s="82"/>
      <c r="M4" s="82" t="s">
        <v>8</v>
      </c>
      <c r="N4" s="83" t="s">
        <v>9</v>
      </c>
      <c r="O4" s="83" t="s">
        <v>10</v>
      </c>
      <c r="P4" s="83" t="s">
        <v>11</v>
      </c>
      <c r="Q4" s="84"/>
      <c r="R4" s="79"/>
    </row>
    <row r="5" spans="1:19" ht="14.5" x14ac:dyDescent="0.35">
      <c r="A5" s="79"/>
      <c r="B5" s="10"/>
      <c r="C5" s="10"/>
      <c r="D5" s="10" t="s">
        <v>12</v>
      </c>
      <c r="E5" s="10" t="s">
        <v>13</v>
      </c>
      <c r="F5" s="10" t="s">
        <v>14</v>
      </c>
      <c r="G5" s="10" t="s">
        <v>0</v>
      </c>
      <c r="H5" s="10" t="s">
        <v>13</v>
      </c>
      <c r="I5" s="10" t="s">
        <v>0</v>
      </c>
      <c r="J5" s="10" t="s">
        <v>13</v>
      </c>
      <c r="K5" s="10" t="s">
        <v>15</v>
      </c>
      <c r="L5" s="79"/>
      <c r="M5" s="43" t="s">
        <v>16</v>
      </c>
      <c r="N5" s="85">
        <v>66316</v>
      </c>
      <c r="O5" s="86">
        <f ca="1">INDIRECT("'" &amp; $S$2 &amp; "'!O" &amp; ROW()) + N5</f>
        <v>746178</v>
      </c>
      <c r="P5" s="85">
        <v>664515</v>
      </c>
      <c r="Q5" s="87"/>
      <c r="R5" s="79"/>
    </row>
    <row r="6" spans="1:19" ht="14.15" customHeight="1" x14ac:dyDescent="0.35">
      <c r="A6" s="79"/>
      <c r="B6" s="88" t="s">
        <v>17</v>
      </c>
      <c r="C6" s="89" t="s">
        <v>18</v>
      </c>
      <c r="D6" s="125">
        <v>5866.09</v>
      </c>
      <c r="E6" s="86">
        <f t="shared" ref="E6:E14" ca="1" si="0">INDIRECT("'" &amp; $S$2 &amp; "'!E" &amp; ROW()) + D6</f>
        <v>114042.5</v>
      </c>
      <c r="F6" s="20">
        <v>9.6</v>
      </c>
      <c r="G6" s="126">
        <f t="shared" ref="G6:G14" si="1">F6*D6</f>
        <v>56314.464</v>
      </c>
      <c r="H6" s="126">
        <f t="shared" ref="H6:H14" ca="1" si="2">INDIRECT("'" &amp; $S$2 &amp; "'!H" &amp; ROW()) + G6</f>
        <v>715317.60159999994</v>
      </c>
      <c r="I6" s="127">
        <f>IF($N$9=0,0,D6/$N$9*1000)</f>
        <v>4.4059031887854738</v>
      </c>
      <c r="J6" s="127">
        <f ca="1">IF($O$9=0,0,E6/$O$9*1000)</f>
        <v>5.3508934257147676</v>
      </c>
      <c r="K6" s="23">
        <v>9.8000000000000007</v>
      </c>
      <c r="L6" s="79"/>
      <c r="M6" s="43" t="s">
        <v>19</v>
      </c>
      <c r="N6" s="85"/>
      <c r="O6" s="86">
        <f>'semana 1'!O6+N6</f>
        <v>0</v>
      </c>
      <c r="P6" s="85"/>
      <c r="R6" s="79"/>
    </row>
    <row r="7" spans="1:19" ht="14.15" customHeight="1" x14ac:dyDescent="0.35">
      <c r="A7" s="79"/>
      <c r="B7" s="74" t="s">
        <v>20</v>
      </c>
      <c r="C7" s="92" t="s">
        <v>18</v>
      </c>
      <c r="D7" s="125">
        <v>10</v>
      </c>
      <c r="E7" s="86">
        <f t="shared" ca="1" si="0"/>
        <v>150</v>
      </c>
      <c r="F7" s="20">
        <v>599</v>
      </c>
      <c r="G7" s="126">
        <f t="shared" si="1"/>
        <v>5990</v>
      </c>
      <c r="H7" s="126">
        <f t="shared" ca="1" si="2"/>
        <v>89850</v>
      </c>
      <c r="I7" s="128">
        <f t="shared" ref="I7:I14" si="3">IF($N$9=0,0,D7/$N$9*1000)*1000</f>
        <v>7.5108005311638131</v>
      </c>
      <c r="J7" s="128">
        <f t="shared" ref="J7:J14" ca="1" si="4">IF($O$9=0,0,E7/$O$9*1000)*1000</f>
        <v>7.0380254190956455</v>
      </c>
      <c r="K7" s="23">
        <v>6.8</v>
      </c>
      <c r="L7" s="79"/>
      <c r="M7" s="43" t="s">
        <v>21</v>
      </c>
      <c r="N7" s="85"/>
      <c r="O7" s="86">
        <f>'semana 1'!O7+N7</f>
        <v>0</v>
      </c>
      <c r="P7" s="85"/>
      <c r="Q7" s="87"/>
      <c r="R7" s="79"/>
    </row>
    <row r="8" spans="1:19" ht="14.15" customHeight="1" x14ac:dyDescent="0.35">
      <c r="A8" s="79"/>
      <c r="B8" s="74" t="s">
        <v>22</v>
      </c>
      <c r="C8" s="92" t="s">
        <v>18</v>
      </c>
      <c r="D8" s="125">
        <v>680</v>
      </c>
      <c r="E8" s="86">
        <f t="shared" ca="1" si="0"/>
        <v>12610</v>
      </c>
      <c r="F8" s="20">
        <v>15</v>
      </c>
      <c r="G8" s="126">
        <f t="shared" si="1"/>
        <v>10200</v>
      </c>
      <c r="H8" s="126">
        <f t="shared" ca="1" si="2"/>
        <v>182492.4</v>
      </c>
      <c r="I8" s="128">
        <f t="shared" si="3"/>
        <v>510.73443611913927</v>
      </c>
      <c r="J8" s="128">
        <f t="shared" ca="1" si="4"/>
        <v>591.66333689864064</v>
      </c>
      <c r="K8" s="23">
        <v>400</v>
      </c>
      <c r="L8" s="79"/>
      <c r="M8" s="49" t="s">
        <v>23</v>
      </c>
      <c r="N8" s="94">
        <v>1331416</v>
      </c>
      <c r="O8" s="86">
        <f ca="1">INDIRECT("'" &amp; $S$2 &amp; "'!O" &amp; ROW()) + N8</f>
        <v>21312796</v>
      </c>
      <c r="P8" s="94">
        <v>9757064</v>
      </c>
      <c r="Q8" s="87"/>
      <c r="R8" s="79"/>
    </row>
    <row r="9" spans="1:19" ht="14.15" customHeight="1" x14ac:dyDescent="0.35">
      <c r="A9" s="79"/>
      <c r="B9" s="74" t="s">
        <v>24</v>
      </c>
      <c r="C9" s="92" t="s">
        <v>18</v>
      </c>
      <c r="D9" s="125">
        <v>283</v>
      </c>
      <c r="E9" s="86">
        <f t="shared" ca="1" si="0"/>
        <v>7134.63</v>
      </c>
      <c r="F9" s="20">
        <v>25.15</v>
      </c>
      <c r="G9" s="126">
        <f t="shared" si="1"/>
        <v>7117.45</v>
      </c>
      <c r="H9" s="126">
        <f t="shared" ca="1" si="2"/>
        <v>179435.94450000001</v>
      </c>
      <c r="I9" s="128">
        <f t="shared" si="3"/>
        <v>212.55565503193594</v>
      </c>
      <c r="J9" s="128">
        <f t="shared" ca="1" si="4"/>
        <v>334.75804863894911</v>
      </c>
      <c r="K9" s="23">
        <v>200</v>
      </c>
      <c r="L9" s="79"/>
      <c r="M9" s="34" t="s">
        <v>25</v>
      </c>
      <c r="N9" s="95">
        <f>SUM(N7:N8)</f>
        <v>1331416</v>
      </c>
      <c r="O9" s="95">
        <f ca="1">SUM(O7:O8)</f>
        <v>21312796</v>
      </c>
      <c r="P9" s="96"/>
      <c r="Q9" s="97"/>
      <c r="R9" s="79"/>
    </row>
    <row r="10" spans="1:19" ht="14.15" customHeight="1" x14ac:dyDescent="0.35">
      <c r="A10" s="79"/>
      <c r="B10" s="74" t="s">
        <v>26</v>
      </c>
      <c r="C10" s="92" t="s">
        <v>18</v>
      </c>
      <c r="D10" s="125"/>
      <c r="E10" s="86">
        <f t="shared" ca="1" si="0"/>
        <v>150</v>
      </c>
      <c r="F10" s="20">
        <v>10.98</v>
      </c>
      <c r="G10" s="126">
        <f t="shared" si="1"/>
        <v>0</v>
      </c>
      <c r="H10" s="126">
        <f t="shared" ca="1" si="2"/>
        <v>1647</v>
      </c>
      <c r="I10" s="128">
        <f t="shared" si="3"/>
        <v>0</v>
      </c>
      <c r="J10" s="128">
        <f t="shared" ca="1" si="4"/>
        <v>7.0380254190956455</v>
      </c>
      <c r="K10" s="23">
        <v>10</v>
      </c>
      <c r="L10" s="79"/>
      <c r="M10" s="38" t="s">
        <v>27</v>
      </c>
      <c r="N10" s="98">
        <f>SUM(N5:N6)</f>
        <v>66316</v>
      </c>
      <c r="O10" s="98">
        <f ca="1">SUM(O5:O6)</f>
        <v>746178</v>
      </c>
      <c r="P10" s="99"/>
      <c r="Q10" s="100"/>
      <c r="R10" s="79"/>
    </row>
    <row r="11" spans="1:19" ht="14.15" customHeight="1" x14ac:dyDescent="0.35">
      <c r="A11" s="79"/>
      <c r="B11" s="74" t="s">
        <v>28</v>
      </c>
      <c r="C11" s="92" t="s">
        <v>18</v>
      </c>
      <c r="D11" s="125"/>
      <c r="E11" s="86">
        <f t="shared" ca="1" si="0"/>
        <v>2653.34</v>
      </c>
      <c r="F11" s="20">
        <v>4.13</v>
      </c>
      <c r="G11" s="126">
        <f t="shared" si="1"/>
        <v>0</v>
      </c>
      <c r="H11" s="126">
        <f t="shared" ca="1" si="2"/>
        <v>10958.2942</v>
      </c>
      <c r="I11" s="128">
        <f t="shared" si="3"/>
        <v>0</v>
      </c>
      <c r="J11" s="128">
        <f t="shared" ca="1" si="4"/>
        <v>124.49516243668828</v>
      </c>
      <c r="K11" s="23"/>
      <c r="L11" s="79"/>
      <c r="R11" s="79"/>
    </row>
    <row r="12" spans="1:19" ht="14.15" customHeight="1" x14ac:dyDescent="0.35">
      <c r="A12" s="79"/>
      <c r="B12" s="74" t="s">
        <v>29</v>
      </c>
      <c r="C12" s="92" t="s">
        <v>18</v>
      </c>
      <c r="D12" s="125">
        <v>575</v>
      </c>
      <c r="E12" s="86">
        <f t="shared" ca="1" si="0"/>
        <v>7875</v>
      </c>
      <c r="F12" s="20">
        <v>5.83</v>
      </c>
      <c r="G12" s="126">
        <f t="shared" si="1"/>
        <v>3352.25</v>
      </c>
      <c r="H12" s="126">
        <f t="shared" ca="1" si="2"/>
        <v>45911.25</v>
      </c>
      <c r="I12" s="128">
        <f t="shared" si="3"/>
        <v>431.87103054191925</v>
      </c>
      <c r="J12" s="128">
        <f t="shared" ca="1" si="4"/>
        <v>369.49633450252139</v>
      </c>
      <c r="K12" s="23">
        <v>400</v>
      </c>
      <c r="L12" s="79"/>
      <c r="M12" s="56" t="s">
        <v>30</v>
      </c>
      <c r="N12" s="101"/>
      <c r="O12" s="101"/>
      <c r="P12" s="101"/>
      <c r="R12" s="79"/>
    </row>
    <row r="13" spans="1:19" ht="14.15" customHeight="1" x14ac:dyDescent="0.35">
      <c r="A13" s="79"/>
      <c r="B13" s="74" t="s">
        <v>31</v>
      </c>
      <c r="C13" s="92" t="s">
        <v>18</v>
      </c>
      <c r="D13" s="125">
        <v>1537.2</v>
      </c>
      <c r="E13" s="86">
        <f t="shared" ca="1" si="0"/>
        <v>10656.13</v>
      </c>
      <c r="F13" s="20">
        <v>14</v>
      </c>
      <c r="G13" s="126">
        <f t="shared" si="1"/>
        <v>21520.799999999999</v>
      </c>
      <c r="H13" s="126">
        <f t="shared" ca="1" si="2"/>
        <v>87478.86</v>
      </c>
      <c r="I13" s="128">
        <f t="shared" si="3"/>
        <v>1154.5602576505014</v>
      </c>
      <c r="J13" s="128">
        <f t="shared" ca="1" si="4"/>
        <v>499.98742539458453</v>
      </c>
      <c r="K13" s="23">
        <v>500</v>
      </c>
      <c r="L13" s="79"/>
      <c r="M13" s="43" t="s">
        <v>32</v>
      </c>
      <c r="N13" s="44" t="s">
        <v>0</v>
      </c>
      <c r="O13" s="44" t="s">
        <v>33</v>
      </c>
      <c r="P13" s="44" t="s">
        <v>34</v>
      </c>
      <c r="R13" s="79"/>
    </row>
    <row r="14" spans="1:19" ht="14.15" customHeight="1" x14ac:dyDescent="0.35">
      <c r="A14" s="79"/>
      <c r="B14" s="102" t="s">
        <v>35</v>
      </c>
      <c r="C14" s="103" t="s">
        <v>18</v>
      </c>
      <c r="D14" s="125">
        <v>10</v>
      </c>
      <c r="E14" s="86">
        <f t="shared" ca="1" si="0"/>
        <v>90</v>
      </c>
      <c r="F14" s="20">
        <v>425</v>
      </c>
      <c r="G14" s="126">
        <f t="shared" si="1"/>
        <v>4250</v>
      </c>
      <c r="H14" s="126">
        <f t="shared" ca="1" si="2"/>
        <v>38250</v>
      </c>
      <c r="I14" s="128">
        <f t="shared" si="3"/>
        <v>7.5108005311638131</v>
      </c>
      <c r="J14" s="128">
        <f t="shared" ca="1" si="4"/>
        <v>4.2228152514573871</v>
      </c>
      <c r="K14" s="23">
        <v>3</v>
      </c>
      <c r="L14" s="79"/>
      <c r="M14" s="43" t="s">
        <v>37</v>
      </c>
      <c r="N14" s="106">
        <v>19460.839</v>
      </c>
      <c r="O14" s="105">
        <f ca="1">INDIRECT("'" &amp; $S$2 &amp; "'!O" &amp; ROW()) + N14</f>
        <v>277885.89899999998</v>
      </c>
      <c r="P14" s="105">
        <v>142574.55900000001</v>
      </c>
      <c r="R14" s="79"/>
    </row>
    <row r="15" spans="1:19" ht="14.5" x14ac:dyDescent="0.3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49" t="s">
        <v>38</v>
      </c>
      <c r="N15" s="107">
        <v>27250.541000000001</v>
      </c>
      <c r="O15" s="105">
        <f ca="1">INDIRECT("'" &amp; $S$2 &amp; "'!O" &amp; ROW()) + N15</f>
        <v>298464.04099999997</v>
      </c>
      <c r="P15" s="105">
        <v>286896.62099999998</v>
      </c>
      <c r="R15" s="79"/>
    </row>
    <row r="16" spans="1:19" ht="14.5" x14ac:dyDescent="0.35">
      <c r="A16" s="79"/>
      <c r="B16" s="82" t="s">
        <v>39</v>
      </c>
      <c r="C16" s="82"/>
      <c r="D16" s="82" t="s">
        <v>5</v>
      </c>
      <c r="E16" s="82"/>
      <c r="F16" s="136" t="s">
        <v>6</v>
      </c>
      <c r="G16" s="136"/>
      <c r="H16" s="136"/>
      <c r="I16" s="136" t="s">
        <v>40</v>
      </c>
      <c r="J16" s="136"/>
      <c r="K16" s="82"/>
      <c r="L16" s="108"/>
      <c r="M16" s="52" t="s">
        <v>41</v>
      </c>
      <c r="N16" s="109">
        <f>SUM(N14:N15)</f>
        <v>46711.380000000005</v>
      </c>
      <c r="O16" s="109">
        <f ca="1">SUM(O14:O15)</f>
        <v>576349.93999999994</v>
      </c>
      <c r="P16" s="110">
        <f>P15+P14</f>
        <v>429471.18</v>
      </c>
      <c r="Q16" s="108"/>
      <c r="R16" s="79"/>
    </row>
    <row r="17" spans="1:18" ht="14.5" x14ac:dyDescent="0.35">
      <c r="A17" s="79"/>
      <c r="B17" s="10"/>
      <c r="C17" s="10"/>
      <c r="D17" s="10" t="s">
        <v>12</v>
      </c>
      <c r="E17" s="10" t="s">
        <v>13</v>
      </c>
      <c r="F17" s="10" t="s">
        <v>14</v>
      </c>
      <c r="G17" s="10" t="s">
        <v>0</v>
      </c>
      <c r="H17" s="10" t="s">
        <v>13</v>
      </c>
      <c r="I17" s="10" t="s">
        <v>0</v>
      </c>
      <c r="J17" s="10" t="s">
        <v>13</v>
      </c>
      <c r="K17" s="10" t="s">
        <v>15</v>
      </c>
      <c r="L17" s="79"/>
      <c r="Q17" s="79"/>
      <c r="R17" s="79"/>
    </row>
    <row r="18" spans="1:18" ht="14.15" customHeight="1" x14ac:dyDescent="0.35">
      <c r="A18" s="79"/>
      <c r="B18" s="88" t="s">
        <v>42</v>
      </c>
      <c r="C18" s="89" t="s">
        <v>18</v>
      </c>
      <c r="D18" s="125">
        <v>225</v>
      </c>
      <c r="E18" s="86">
        <f t="shared" ref="E18:E27" ca="1" si="5">INDIRECT("'" &amp; $S$2 &amp; "'!E" &amp; ROW()) + D18</f>
        <v>2784</v>
      </c>
      <c r="F18" s="20">
        <v>21</v>
      </c>
      <c r="G18" s="126">
        <f t="shared" ref="G18:G27" si="6">D18*F18</f>
        <v>4725</v>
      </c>
      <c r="H18" s="126">
        <f t="shared" ref="H18:H27" ca="1" si="7">INDIRECT("'" &amp; $S$2 &amp; "'!H" &amp; ROW()) + G18</f>
        <v>58464</v>
      </c>
      <c r="I18" s="127">
        <f t="shared" ref="I18:I27" si="8">IF($N$10=0,0,D18/$N$16*1000)</f>
        <v>4.8168133760980725</v>
      </c>
      <c r="J18" s="127">
        <f t="shared" ref="J18:J27" ca="1" si="9">IF($O$10=0,0,E18/$O$16*1000)</f>
        <v>4.8303986984018774</v>
      </c>
      <c r="K18" s="55">
        <v>6.1</v>
      </c>
      <c r="L18" s="79"/>
      <c r="M18" s="56" t="s">
        <v>43</v>
      </c>
      <c r="N18" s="57" t="s">
        <v>0</v>
      </c>
      <c r="O18" s="57" t="s">
        <v>33</v>
      </c>
      <c r="Q18" s="79"/>
      <c r="R18" s="79"/>
    </row>
    <row r="19" spans="1:18" ht="14.15" customHeight="1" x14ac:dyDescent="0.35">
      <c r="A19" s="79"/>
      <c r="B19" s="74" t="s">
        <v>45</v>
      </c>
      <c r="C19" s="92" t="s">
        <v>18</v>
      </c>
      <c r="D19" s="125">
        <v>300</v>
      </c>
      <c r="E19" s="86">
        <f t="shared" ca="1" si="5"/>
        <v>2975</v>
      </c>
      <c r="F19" s="20">
        <v>15.63</v>
      </c>
      <c r="G19" s="126">
        <f t="shared" si="6"/>
        <v>4689</v>
      </c>
      <c r="H19" s="126">
        <f t="shared" ca="1" si="7"/>
        <v>46499.25</v>
      </c>
      <c r="I19" s="127">
        <f t="shared" si="8"/>
        <v>6.4224178347974297</v>
      </c>
      <c r="J19" s="127">
        <f t="shared" ca="1" si="9"/>
        <v>5.1617945861155121</v>
      </c>
      <c r="K19" s="55">
        <v>9</v>
      </c>
      <c r="L19" s="79"/>
      <c r="M19" s="43" t="s">
        <v>46</v>
      </c>
      <c r="N19" s="58">
        <f>SUM(G6:G14)</f>
        <v>108744.96400000001</v>
      </c>
      <c r="O19" s="126">
        <f ca="1">INDIRECT("'" &amp; $S$2 &amp; "'!O" &amp; ROW()) + N19</f>
        <v>1351341.3502999998</v>
      </c>
      <c r="Q19" s="79"/>
      <c r="R19" s="79"/>
    </row>
    <row r="20" spans="1:18" ht="14.15" customHeight="1" x14ac:dyDescent="0.35">
      <c r="A20" s="79"/>
      <c r="B20" s="74" t="s">
        <v>47</v>
      </c>
      <c r="C20" s="92" t="s">
        <v>18</v>
      </c>
      <c r="D20" s="125"/>
      <c r="E20" s="86">
        <f t="shared" ca="1" si="5"/>
        <v>1000</v>
      </c>
      <c r="F20" s="20">
        <v>6.7</v>
      </c>
      <c r="G20" s="126">
        <f t="shared" si="6"/>
        <v>0</v>
      </c>
      <c r="H20" s="126">
        <f t="shared" ca="1" si="7"/>
        <v>6700</v>
      </c>
      <c r="I20" s="127">
        <f t="shared" si="8"/>
        <v>0</v>
      </c>
      <c r="J20" s="127">
        <f t="shared" ca="1" si="9"/>
        <v>1.7350570037363064</v>
      </c>
      <c r="K20" s="55">
        <v>51</v>
      </c>
      <c r="L20" s="79"/>
      <c r="M20" s="43" t="s">
        <v>48</v>
      </c>
      <c r="N20" s="58">
        <f>SUM(G18:G27)+G51+G54</f>
        <v>53586.108800000002</v>
      </c>
      <c r="O20" s="126">
        <f ca="1">INDIRECT("'" &amp; $S$2 &amp; "'!O" &amp; ROW()) + N20</f>
        <v>583429.66980000003</v>
      </c>
      <c r="Q20" s="79"/>
      <c r="R20" s="79"/>
    </row>
    <row r="21" spans="1:18" ht="14.15" customHeight="1" x14ac:dyDescent="0.35">
      <c r="A21" s="79"/>
      <c r="B21" s="74" t="s">
        <v>49</v>
      </c>
      <c r="C21" s="92" t="s">
        <v>18</v>
      </c>
      <c r="D21" s="125"/>
      <c r="E21" s="86">
        <f t="shared" ca="1" si="5"/>
        <v>0</v>
      </c>
      <c r="F21" s="20">
        <v>5.85</v>
      </c>
      <c r="G21" s="126">
        <f t="shared" si="6"/>
        <v>0</v>
      </c>
      <c r="H21" s="126">
        <f t="shared" ca="1" si="7"/>
        <v>0</v>
      </c>
      <c r="I21" s="127">
        <f t="shared" si="8"/>
        <v>0</v>
      </c>
      <c r="J21" s="127">
        <f t="shared" ca="1" si="9"/>
        <v>0</v>
      </c>
      <c r="K21" s="55"/>
      <c r="L21" s="79"/>
      <c r="M21" s="43" t="s">
        <v>50</v>
      </c>
      <c r="N21" s="58">
        <f>SUM(G30:G37)</f>
        <v>13671.061900000001</v>
      </c>
      <c r="O21" s="126">
        <f ca="1">INDIRECT("'" &amp; $S$2 &amp; "'!O" &amp; ROW()) + N21</f>
        <v>83392.565199999997</v>
      </c>
      <c r="Q21" s="79"/>
      <c r="R21" s="79"/>
    </row>
    <row r="22" spans="1:18" ht="14.15" customHeight="1" x14ac:dyDescent="0.35">
      <c r="A22" s="79"/>
      <c r="B22" s="74" t="s">
        <v>51</v>
      </c>
      <c r="C22" s="92" t="s">
        <v>18</v>
      </c>
      <c r="D22" s="125">
        <v>22433.3</v>
      </c>
      <c r="E22" s="86">
        <f t="shared" ca="1" si="5"/>
        <v>260657.99999999997</v>
      </c>
      <c r="F22" s="20">
        <v>1.03</v>
      </c>
      <c r="G22" s="126">
        <f t="shared" si="6"/>
        <v>23106.298999999999</v>
      </c>
      <c r="H22" s="126">
        <f t="shared" ca="1" si="7"/>
        <v>268477.74</v>
      </c>
      <c r="I22" s="127">
        <f t="shared" si="8"/>
        <v>480.25342004453722</v>
      </c>
      <c r="J22" s="127">
        <f t="shared" ca="1" si="9"/>
        <v>452.25648847989811</v>
      </c>
      <c r="K22" s="55">
        <v>1000</v>
      </c>
      <c r="L22" s="79"/>
      <c r="M22" s="49" t="s">
        <v>52</v>
      </c>
      <c r="N22" s="58">
        <f>SUM(G40:G53)-G51-G54</f>
        <v>18644.0445</v>
      </c>
      <c r="O22" s="126">
        <f ca="1">INDIRECT("'" &amp; $S$2 &amp; "'!O" &amp; ROW()) + N22</f>
        <v>158762.1974</v>
      </c>
      <c r="Q22" s="79"/>
      <c r="R22" s="79"/>
    </row>
    <row r="23" spans="1:18" ht="14.15" customHeight="1" x14ac:dyDescent="0.35">
      <c r="A23" s="79"/>
      <c r="B23" s="74" t="s">
        <v>29</v>
      </c>
      <c r="C23" s="92" t="s">
        <v>18</v>
      </c>
      <c r="D23" s="125">
        <v>775</v>
      </c>
      <c r="E23" s="86">
        <f t="shared" ca="1" si="5"/>
        <v>5750</v>
      </c>
      <c r="F23" s="20">
        <v>5.83</v>
      </c>
      <c r="G23" s="126">
        <f t="shared" si="6"/>
        <v>4518.25</v>
      </c>
      <c r="H23" s="126">
        <f t="shared" ca="1" si="7"/>
        <v>33522.5</v>
      </c>
      <c r="I23" s="127">
        <f t="shared" si="8"/>
        <v>16.591246073226692</v>
      </c>
      <c r="J23" s="127">
        <f t="shared" ca="1" si="9"/>
        <v>9.9765777714837629</v>
      </c>
      <c r="K23" s="55">
        <v>13</v>
      </c>
      <c r="L23" s="79"/>
      <c r="M23" s="52" t="s">
        <v>53</v>
      </c>
      <c r="N23" s="112">
        <f>SUM(N19:N22)</f>
        <v>194646.17920000001</v>
      </c>
      <c r="O23" s="113">
        <f ca="1">SUM(O19:O22)</f>
        <v>2176925.7826999999</v>
      </c>
      <c r="Q23" s="79"/>
      <c r="R23" s="79"/>
    </row>
    <row r="24" spans="1:18" ht="14.15" customHeight="1" x14ac:dyDescent="0.35">
      <c r="A24" s="79"/>
      <c r="B24" s="74" t="s">
        <v>54</v>
      </c>
      <c r="C24" s="92" t="s">
        <v>18</v>
      </c>
      <c r="D24" s="125">
        <v>1088.8800000000001</v>
      </c>
      <c r="E24" s="86">
        <f t="shared" ca="1" si="5"/>
        <v>8999.9699999999993</v>
      </c>
      <c r="F24" s="20">
        <v>8</v>
      </c>
      <c r="G24" s="126">
        <f t="shared" si="6"/>
        <v>8711.0400000000009</v>
      </c>
      <c r="H24" s="126">
        <f t="shared" ca="1" si="7"/>
        <v>71999.759999999995</v>
      </c>
      <c r="I24" s="127">
        <f t="shared" si="8"/>
        <v>23.310807773180755</v>
      </c>
      <c r="J24" s="127">
        <f t="shared" ca="1" si="9"/>
        <v>15.615460981916646</v>
      </c>
      <c r="K24" s="55">
        <v>2.8</v>
      </c>
      <c r="L24" s="79"/>
      <c r="P24" s="79"/>
      <c r="Q24" s="79"/>
      <c r="R24" s="79"/>
    </row>
    <row r="25" spans="1:18" ht="14.15" customHeight="1" x14ac:dyDescent="0.35">
      <c r="A25" s="79"/>
      <c r="B25" s="74" t="s">
        <v>55</v>
      </c>
      <c r="C25" s="92" t="s">
        <v>18</v>
      </c>
      <c r="D25" s="125">
        <v>440</v>
      </c>
      <c r="E25" s="86">
        <f t="shared" ca="1" si="5"/>
        <v>13872.94</v>
      </c>
      <c r="F25" s="20">
        <v>5.85</v>
      </c>
      <c r="G25" s="126">
        <f t="shared" si="6"/>
        <v>2574</v>
      </c>
      <c r="H25" s="126">
        <f t="shared" ca="1" si="7"/>
        <v>81156.698999999979</v>
      </c>
      <c r="I25" s="127">
        <f t="shared" si="8"/>
        <v>9.4195461577028965</v>
      </c>
      <c r="J25" s="127">
        <f t="shared" ca="1" si="9"/>
        <v>24.070341709413558</v>
      </c>
      <c r="K25" s="55">
        <v>28</v>
      </c>
      <c r="L25" s="79"/>
      <c r="M25" s="56" t="s">
        <v>56</v>
      </c>
      <c r="N25" s="56" t="s">
        <v>9</v>
      </c>
      <c r="O25" s="56"/>
      <c r="P25" s="56" t="s">
        <v>10</v>
      </c>
      <c r="Q25" s="56"/>
      <c r="R25" s="79"/>
    </row>
    <row r="26" spans="1:18" ht="14.15" customHeight="1" x14ac:dyDescent="0.35">
      <c r="A26" s="79"/>
      <c r="B26" s="74" t="s">
        <v>58</v>
      </c>
      <c r="C26" s="103" t="s">
        <v>36</v>
      </c>
      <c r="D26" s="125"/>
      <c r="E26" s="86">
        <f t="shared" ca="1" si="5"/>
        <v>0</v>
      </c>
      <c r="F26" s="20">
        <v>6.98</v>
      </c>
      <c r="G26" s="126">
        <f t="shared" si="6"/>
        <v>0</v>
      </c>
      <c r="H26" s="126">
        <f t="shared" ca="1" si="7"/>
        <v>0</v>
      </c>
      <c r="I26" s="127">
        <f t="shared" si="8"/>
        <v>0</v>
      </c>
      <c r="J26" s="127">
        <f t="shared" ca="1" si="9"/>
        <v>0</v>
      </c>
      <c r="K26" s="55">
        <v>21.3</v>
      </c>
      <c r="L26" s="79"/>
      <c r="M26" s="43" t="s">
        <v>46</v>
      </c>
      <c r="N26" s="114">
        <f>IF($N$9=0,0,N19/$N$9*1000)</f>
        <v>81.676173337258987</v>
      </c>
      <c r="O26" s="44" t="s">
        <v>59</v>
      </c>
      <c r="P26" s="114">
        <f ca="1">IF($O$9=0,0,O19/$O$9*1000)</f>
        <v>63.405165155242877</v>
      </c>
      <c r="Q26" s="44" t="s">
        <v>59</v>
      </c>
      <c r="R26" s="79"/>
    </row>
    <row r="27" spans="1:18" ht="14.15" customHeight="1" x14ac:dyDescent="0.35">
      <c r="A27" s="79"/>
      <c r="B27" s="74" t="s">
        <v>86</v>
      </c>
      <c r="C27" s="103" t="s">
        <v>36</v>
      </c>
      <c r="D27" s="75"/>
      <c r="E27" s="86">
        <f t="shared" ca="1" si="5"/>
        <v>22.22</v>
      </c>
      <c r="F27" s="115"/>
      <c r="G27" s="126">
        <f t="shared" si="6"/>
        <v>0</v>
      </c>
      <c r="H27" s="126">
        <f t="shared" ca="1" si="7"/>
        <v>0</v>
      </c>
      <c r="I27" s="127">
        <f t="shared" si="8"/>
        <v>0</v>
      </c>
      <c r="J27" s="127">
        <f t="shared" ca="1" si="9"/>
        <v>3.8552966623020733E-2</v>
      </c>
      <c r="K27" s="55">
        <v>3.6</v>
      </c>
      <c r="L27" s="108"/>
      <c r="M27" s="43" t="s">
        <v>48</v>
      </c>
      <c r="N27" s="114">
        <f>IF($N$10=0,0,N20/$N$16)</f>
        <v>1.1471746028483851</v>
      </c>
      <c r="O27" s="44" t="s">
        <v>60</v>
      </c>
      <c r="P27" s="114">
        <f ca="1">IF($O$10=0,0,O20/$O$16)</f>
        <v>1.0122837347740508</v>
      </c>
      <c r="Q27" s="44" t="s">
        <v>60</v>
      </c>
    </row>
    <row r="28" spans="1:18" ht="14.5" x14ac:dyDescent="0.35">
      <c r="A28" s="79"/>
      <c r="B28" s="82" t="s">
        <v>62</v>
      </c>
      <c r="C28" s="82"/>
      <c r="D28" s="82" t="s">
        <v>5</v>
      </c>
      <c r="E28" s="82"/>
      <c r="F28" s="82" t="s">
        <v>6</v>
      </c>
      <c r="G28" s="82"/>
      <c r="H28" s="82"/>
      <c r="I28" s="82" t="s">
        <v>40</v>
      </c>
      <c r="J28" s="82"/>
      <c r="K28" s="82"/>
      <c r="L28" s="79"/>
      <c r="M28" s="43" t="s">
        <v>50</v>
      </c>
      <c r="N28" s="114">
        <f>IF($N$16=0,0,N21/$N$16)</f>
        <v>0.2926709058905988</v>
      </c>
      <c r="O28" s="44" t="s">
        <v>60</v>
      </c>
      <c r="P28" s="114">
        <f ca="1">IF($O$16=0,0,O21/$O$16)</f>
        <v>0.14469085430979658</v>
      </c>
      <c r="Q28" s="44" t="s">
        <v>60</v>
      </c>
    </row>
    <row r="29" spans="1:18" ht="14.5" x14ac:dyDescent="0.35">
      <c r="A29" s="79"/>
      <c r="B29" s="10"/>
      <c r="C29" s="10"/>
      <c r="D29" s="10" t="s">
        <v>12</v>
      </c>
      <c r="E29" s="10" t="s">
        <v>13</v>
      </c>
      <c r="F29" s="10" t="s">
        <v>14</v>
      </c>
      <c r="G29" s="10" t="s">
        <v>0</v>
      </c>
      <c r="H29" s="10" t="s">
        <v>13</v>
      </c>
      <c r="I29" s="10" t="s">
        <v>0</v>
      </c>
      <c r="J29" s="10" t="s">
        <v>13</v>
      </c>
      <c r="K29" s="10" t="s">
        <v>15</v>
      </c>
      <c r="L29" s="79"/>
      <c r="M29" s="49" t="s">
        <v>52</v>
      </c>
      <c r="N29" s="116">
        <f>IF($N$16=0,0,N22/$N$16)</f>
        <v>0.39913281303185644</v>
      </c>
      <c r="O29" s="117" t="s">
        <v>60</v>
      </c>
      <c r="P29" s="116">
        <f ca="1">IF($O$16=0,0,O22/$O$16)</f>
        <v>0.27546146252743603</v>
      </c>
      <c r="Q29" s="117" t="s">
        <v>60</v>
      </c>
    </row>
    <row r="30" spans="1:18" ht="14.15" customHeight="1" x14ac:dyDescent="0.35">
      <c r="A30" s="79"/>
      <c r="B30" s="88" t="s">
        <v>63</v>
      </c>
      <c r="C30" s="89" t="s">
        <v>18</v>
      </c>
      <c r="D30" s="125">
        <v>7711.67</v>
      </c>
      <c r="E30" s="86">
        <f t="shared" ref="E30:E36" ca="1" si="10">INDIRECT("'" &amp; $S$2 &amp; "'!E" &amp; ROW()) + D30</f>
        <v>11016.67</v>
      </c>
      <c r="F30" s="20">
        <v>1.03</v>
      </c>
      <c r="G30" s="126">
        <f t="shared" ref="G30:G36" si="11">D30*F30</f>
        <v>7943.0201000000006</v>
      </c>
      <c r="H30" s="126">
        <f t="shared" ref="H30:H36" ca="1" si="12">INDIRECT("'" &amp; $S$2 &amp; "'!H" &amp; ROW()) + G30</f>
        <v>11347.170100000001</v>
      </c>
      <c r="I30" s="128">
        <f t="shared" ref="I30:I36" si="13">IF($N$16=0,0,D30/$N$16*1000)</f>
        <v>165.09188981357431</v>
      </c>
      <c r="J30" s="128">
        <f t="shared" ref="J30:J36" ca="1" si="14">IF($O$16=0,0,E30/$O$16*1000)</f>
        <v>19.114550441351657</v>
      </c>
      <c r="K30" s="23">
        <v>0</v>
      </c>
      <c r="L30" s="79"/>
      <c r="M30" s="52" t="s">
        <v>64</v>
      </c>
      <c r="N30" s="119">
        <f>IF($N$16=0,0,N23/$N$16)</f>
        <v>4.166996975897522</v>
      </c>
      <c r="O30" s="120" t="s">
        <v>60</v>
      </c>
      <c r="P30" s="119">
        <f ca="1">IF($O$16=0,0,O23/$O$16)</f>
        <v>3.7770903258877757</v>
      </c>
      <c r="Q30" s="121" t="s">
        <v>60</v>
      </c>
    </row>
    <row r="31" spans="1:18" ht="14.15" customHeight="1" x14ac:dyDescent="0.35">
      <c r="A31" s="79"/>
      <c r="B31" s="74" t="s">
        <v>29</v>
      </c>
      <c r="C31" s="92" t="s">
        <v>18</v>
      </c>
      <c r="D31" s="125">
        <v>200</v>
      </c>
      <c r="E31" s="86">
        <f t="shared" ca="1" si="10"/>
        <v>500</v>
      </c>
      <c r="F31" s="20">
        <v>5.83</v>
      </c>
      <c r="G31" s="126">
        <f t="shared" si="11"/>
        <v>1166</v>
      </c>
      <c r="H31" s="126">
        <f t="shared" ca="1" si="12"/>
        <v>2915</v>
      </c>
      <c r="I31" s="128">
        <f t="shared" si="13"/>
        <v>4.2816118898649531</v>
      </c>
      <c r="J31" s="128">
        <f t="shared" ca="1" si="14"/>
        <v>0.86752850186815322</v>
      </c>
      <c r="K31" s="23">
        <v>1.5</v>
      </c>
      <c r="L31" s="79"/>
      <c r="M31" s="10"/>
    </row>
    <row r="32" spans="1:18" ht="14.15" customHeight="1" x14ac:dyDescent="0.35">
      <c r="A32" s="79"/>
      <c r="B32" s="74" t="s">
        <v>65</v>
      </c>
      <c r="C32" s="92" t="s">
        <v>18</v>
      </c>
      <c r="D32" s="125">
        <v>458.82</v>
      </c>
      <c r="E32" s="86">
        <f t="shared" ca="1" si="10"/>
        <v>6376.49</v>
      </c>
      <c r="F32" s="20">
        <v>8.99</v>
      </c>
      <c r="G32" s="126">
        <f t="shared" si="11"/>
        <v>4124.7918</v>
      </c>
      <c r="H32" s="126">
        <f t="shared" ca="1" si="12"/>
        <v>57324.645100000002</v>
      </c>
      <c r="I32" s="128">
        <f t="shared" si="13"/>
        <v>9.82244583653919</v>
      </c>
      <c r="J32" s="128">
        <f t="shared" ca="1" si="14"/>
        <v>11.063573633754521</v>
      </c>
      <c r="K32" s="23">
        <v>8</v>
      </c>
      <c r="L32" s="79"/>
    </row>
    <row r="33" spans="1:18" ht="14.15" customHeight="1" x14ac:dyDescent="0.35">
      <c r="A33" s="79"/>
      <c r="B33" s="102" t="s">
        <v>66</v>
      </c>
      <c r="C33" s="103" t="s">
        <v>18</v>
      </c>
      <c r="D33" s="125"/>
      <c r="E33" s="86">
        <f t="shared" ca="1" si="10"/>
        <v>0</v>
      </c>
      <c r="F33" s="20">
        <v>24</v>
      </c>
      <c r="G33" s="126">
        <f t="shared" si="11"/>
        <v>0</v>
      </c>
      <c r="H33" s="126">
        <f t="shared" ca="1" si="12"/>
        <v>0</v>
      </c>
      <c r="I33" s="128">
        <f t="shared" si="13"/>
        <v>0</v>
      </c>
      <c r="J33" s="128">
        <f t="shared" ca="1" si="14"/>
        <v>0</v>
      </c>
      <c r="K33" s="23">
        <v>0</v>
      </c>
      <c r="L33" s="79"/>
      <c r="M33" s="79"/>
      <c r="N33" s="79"/>
      <c r="O33" s="79"/>
      <c r="P33" s="79"/>
      <c r="Q33" s="79"/>
      <c r="R33" s="79"/>
    </row>
    <row r="34" spans="1:18" ht="14.15" customHeight="1" x14ac:dyDescent="0.35">
      <c r="A34" s="79"/>
      <c r="B34" s="102" t="s">
        <v>67</v>
      </c>
      <c r="C34" s="103" t="s">
        <v>36</v>
      </c>
      <c r="D34" s="75">
        <v>25</v>
      </c>
      <c r="E34" s="86">
        <f t="shared" ca="1" si="10"/>
        <v>1050</v>
      </c>
      <c r="F34" s="20">
        <v>5.83</v>
      </c>
      <c r="G34" s="126">
        <f t="shared" si="11"/>
        <v>145.75</v>
      </c>
      <c r="H34" s="126">
        <f t="shared" ca="1" si="12"/>
        <v>6121.5</v>
      </c>
      <c r="I34" s="128">
        <f t="shared" si="13"/>
        <v>0.53520148623311914</v>
      </c>
      <c r="J34" s="128">
        <f t="shared" ca="1" si="14"/>
        <v>1.8218098539231218</v>
      </c>
      <c r="K34" s="23">
        <v>2</v>
      </c>
      <c r="L34" s="79"/>
      <c r="M34" s="79"/>
      <c r="N34" s="79"/>
      <c r="O34" s="79"/>
      <c r="P34" s="79"/>
      <c r="Q34" s="79"/>
      <c r="R34" s="79"/>
    </row>
    <row r="35" spans="1:18" ht="14.15" customHeight="1" x14ac:dyDescent="0.35">
      <c r="A35" s="79"/>
      <c r="B35" s="102" t="s">
        <v>68</v>
      </c>
      <c r="C35" s="103" t="s">
        <v>18</v>
      </c>
      <c r="D35" s="75">
        <v>50</v>
      </c>
      <c r="E35" s="86">
        <f t="shared" ca="1" si="10"/>
        <v>925</v>
      </c>
      <c r="F35" s="20">
        <v>5.83</v>
      </c>
      <c r="G35" s="126">
        <f t="shared" si="11"/>
        <v>291.5</v>
      </c>
      <c r="H35" s="126">
        <f t="shared" ca="1" si="12"/>
        <v>5392.75</v>
      </c>
      <c r="I35" s="128">
        <f t="shared" si="13"/>
        <v>1.0704029724662383</v>
      </c>
      <c r="J35" s="128">
        <f t="shared" ca="1" si="14"/>
        <v>1.6049277284560837</v>
      </c>
      <c r="K35" s="23">
        <v>1</v>
      </c>
      <c r="L35" s="79"/>
      <c r="M35" s="79"/>
      <c r="N35" s="79"/>
      <c r="O35" s="79"/>
      <c r="P35" s="79"/>
      <c r="Q35" s="79"/>
      <c r="R35" s="79"/>
    </row>
    <row r="36" spans="1:18" ht="14.15" customHeight="1" x14ac:dyDescent="0.35">
      <c r="A36" s="79"/>
      <c r="B36" s="102" t="s">
        <v>69</v>
      </c>
      <c r="C36" s="103" t="s">
        <v>18</v>
      </c>
      <c r="D36" s="75"/>
      <c r="E36" s="86">
        <f t="shared" ca="1" si="10"/>
        <v>50</v>
      </c>
      <c r="F36" s="20">
        <v>5.83</v>
      </c>
      <c r="G36" s="126">
        <f t="shared" si="11"/>
        <v>0</v>
      </c>
      <c r="H36" s="126">
        <f t="shared" ca="1" si="12"/>
        <v>291.5</v>
      </c>
      <c r="I36" s="128">
        <f t="shared" si="13"/>
        <v>0</v>
      </c>
      <c r="J36" s="128">
        <f t="shared" ca="1" si="14"/>
        <v>8.6752850186815333E-2</v>
      </c>
      <c r="K36" s="23">
        <v>1</v>
      </c>
      <c r="L36" s="79"/>
      <c r="M36" s="79"/>
      <c r="N36" s="79"/>
      <c r="O36" s="79"/>
      <c r="P36" s="79"/>
      <c r="Q36" s="79"/>
      <c r="R36" s="79"/>
    </row>
    <row r="37" spans="1:18" ht="8.25" customHeight="1" x14ac:dyDescent="0.3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R37" s="79"/>
    </row>
    <row r="38" spans="1:18" ht="14.5" x14ac:dyDescent="0.35">
      <c r="A38" s="79"/>
      <c r="B38" s="82" t="s">
        <v>70</v>
      </c>
      <c r="C38" s="82"/>
      <c r="D38" s="82" t="s">
        <v>5</v>
      </c>
      <c r="E38" s="82"/>
      <c r="F38" s="82" t="s">
        <v>71</v>
      </c>
      <c r="G38" s="82"/>
      <c r="H38" s="82"/>
      <c r="I38" s="82" t="s">
        <v>72</v>
      </c>
      <c r="J38" s="82"/>
      <c r="K38" s="82"/>
      <c r="L38" s="108"/>
      <c r="M38" s="108"/>
      <c r="N38" s="108"/>
      <c r="O38" s="108"/>
      <c r="P38" s="108"/>
      <c r="Q38" s="108"/>
      <c r="R38" s="79"/>
    </row>
    <row r="39" spans="1:18" ht="15.75" customHeight="1" x14ac:dyDescent="0.35">
      <c r="A39" s="79"/>
      <c r="B39" s="10"/>
      <c r="C39" s="10"/>
      <c r="D39" s="10" t="s">
        <v>12</v>
      </c>
      <c r="E39" s="10" t="s">
        <v>13</v>
      </c>
      <c r="F39" s="10" t="s">
        <v>14</v>
      </c>
      <c r="G39" s="10" t="s">
        <v>0</v>
      </c>
      <c r="H39" s="10" t="s">
        <v>13</v>
      </c>
      <c r="I39" s="10" t="s">
        <v>0</v>
      </c>
      <c r="J39" s="10" t="s">
        <v>13</v>
      </c>
      <c r="K39" s="10" t="s">
        <v>15</v>
      </c>
      <c r="L39" s="79"/>
      <c r="M39" s="79"/>
      <c r="N39" s="79"/>
      <c r="O39" s="79"/>
      <c r="P39" s="79"/>
      <c r="Q39" s="79"/>
      <c r="R39" s="79"/>
    </row>
    <row r="40" spans="1:18" ht="12.75" customHeight="1" x14ac:dyDescent="0.35">
      <c r="A40" s="79"/>
      <c r="B40" s="88" t="s">
        <v>29</v>
      </c>
      <c r="C40" s="89" t="s">
        <v>18</v>
      </c>
      <c r="D40" s="125">
        <v>150</v>
      </c>
      <c r="E40" s="86">
        <f t="shared" ref="E40:E54" ca="1" si="15">INDIRECT("'" &amp; $S$2 &amp; "'!E" &amp; ROW()) + D40</f>
        <v>2775</v>
      </c>
      <c r="F40" s="20">
        <v>5.83</v>
      </c>
      <c r="G40" s="126">
        <f t="shared" ref="G40:G54" si="16">D40*F40</f>
        <v>874.5</v>
      </c>
      <c r="H40" s="126">
        <f t="shared" ref="H40:H54" ca="1" si="17">INDIRECT("'" &amp; $S$2 &amp; "'!H" &amp; ROW()) + G40</f>
        <v>16178.25</v>
      </c>
      <c r="I40" s="127">
        <f t="shared" ref="I40:I54" si="18">IF($N$16=0,0,D40/$N$16*1000)</f>
        <v>3.2112089173987148</v>
      </c>
      <c r="J40" s="127">
        <f t="shared" ref="J40:J54" ca="1" si="19">IF($O$16=0,0,E40/$O$16*1000)</f>
        <v>4.8147831853682508</v>
      </c>
      <c r="K40" s="55">
        <v>6</v>
      </c>
      <c r="L40" s="79"/>
      <c r="M40" s="79"/>
      <c r="N40" s="79"/>
      <c r="O40" s="79"/>
      <c r="P40" s="79"/>
      <c r="Q40" s="79"/>
      <c r="R40" s="79"/>
    </row>
    <row r="41" spans="1:18" ht="12.75" customHeight="1" x14ac:dyDescent="0.35">
      <c r="A41" s="79"/>
      <c r="B41" s="74" t="s">
        <v>73</v>
      </c>
      <c r="C41" s="92" t="s">
        <v>18</v>
      </c>
      <c r="D41" s="125">
        <v>150</v>
      </c>
      <c r="E41" s="86">
        <f t="shared" ca="1" si="15"/>
        <v>1500</v>
      </c>
      <c r="F41" s="20">
        <v>37.840000000000003</v>
      </c>
      <c r="G41" s="126">
        <f t="shared" si="16"/>
        <v>5676.0000000000009</v>
      </c>
      <c r="H41" s="126">
        <f t="shared" ca="1" si="17"/>
        <v>56760.000000000007</v>
      </c>
      <c r="I41" s="127">
        <f t="shared" si="18"/>
        <v>3.2112089173987148</v>
      </c>
      <c r="J41" s="127">
        <f t="shared" ca="1" si="19"/>
        <v>2.60258550560446</v>
      </c>
      <c r="K41" s="55">
        <v>3</v>
      </c>
      <c r="L41" s="79"/>
      <c r="M41" s="79"/>
      <c r="N41" s="79"/>
      <c r="O41" s="79"/>
      <c r="P41" s="79"/>
      <c r="Q41" s="79"/>
      <c r="R41" s="79"/>
    </row>
    <row r="42" spans="1:18" ht="12.75" customHeight="1" x14ac:dyDescent="0.35">
      <c r="A42" s="79"/>
      <c r="B42" s="74" t="s">
        <v>74</v>
      </c>
      <c r="C42" s="92" t="s">
        <v>18</v>
      </c>
      <c r="D42" s="125"/>
      <c r="E42" s="86">
        <f t="shared" ca="1" si="15"/>
        <v>88.5</v>
      </c>
      <c r="F42" s="20">
        <v>21</v>
      </c>
      <c r="G42" s="126">
        <f t="shared" si="16"/>
        <v>0</v>
      </c>
      <c r="H42" s="126">
        <f t="shared" ca="1" si="17"/>
        <v>1858.5</v>
      </c>
      <c r="I42" s="127">
        <f t="shared" si="18"/>
        <v>0</v>
      </c>
      <c r="J42" s="127">
        <f t="shared" ca="1" si="19"/>
        <v>0.15355254483066313</v>
      </c>
      <c r="K42" s="55">
        <v>0.35</v>
      </c>
      <c r="L42" s="79"/>
      <c r="M42" s="129"/>
      <c r="N42" s="79"/>
      <c r="O42" s="79"/>
      <c r="P42" s="79"/>
      <c r="Q42" s="79"/>
      <c r="R42" s="79"/>
    </row>
    <row r="43" spans="1:18" ht="12.75" customHeight="1" x14ac:dyDescent="0.35">
      <c r="A43" s="79"/>
      <c r="B43" s="74" t="s">
        <v>75</v>
      </c>
      <c r="C43" s="92" t="s">
        <v>18</v>
      </c>
      <c r="D43" s="125">
        <v>195</v>
      </c>
      <c r="E43" s="86">
        <f t="shared" ca="1" si="15"/>
        <v>3060</v>
      </c>
      <c r="F43" s="20">
        <v>2.9</v>
      </c>
      <c r="G43" s="126">
        <f t="shared" si="16"/>
        <v>565.5</v>
      </c>
      <c r="H43" s="126">
        <f t="shared" ca="1" si="17"/>
        <v>8874</v>
      </c>
      <c r="I43" s="127">
        <f t="shared" si="18"/>
        <v>4.1745715926183298</v>
      </c>
      <c r="J43" s="127">
        <f t="shared" ca="1" si="19"/>
        <v>5.3092744314330984</v>
      </c>
      <c r="K43" s="55">
        <v>7</v>
      </c>
      <c r="L43" s="79"/>
      <c r="M43" s="129"/>
      <c r="N43" s="79"/>
      <c r="O43" s="79"/>
      <c r="P43" s="79"/>
      <c r="Q43" s="79"/>
      <c r="R43" s="79"/>
    </row>
    <row r="44" spans="1:18" ht="12.75" customHeight="1" x14ac:dyDescent="0.35">
      <c r="A44" s="79"/>
      <c r="B44" s="74" t="s">
        <v>76</v>
      </c>
      <c r="C44" s="92" t="s">
        <v>18</v>
      </c>
      <c r="D44" s="125">
        <v>35</v>
      </c>
      <c r="E44" s="86">
        <f t="shared" ca="1" si="15"/>
        <v>215</v>
      </c>
      <c r="F44" s="20">
        <v>24</v>
      </c>
      <c r="G44" s="126">
        <f t="shared" si="16"/>
        <v>840</v>
      </c>
      <c r="H44" s="126">
        <f t="shared" ca="1" si="17"/>
        <v>5160</v>
      </c>
      <c r="I44" s="127">
        <f t="shared" si="18"/>
        <v>0.74928208072636682</v>
      </c>
      <c r="J44" s="127">
        <f t="shared" ca="1" si="19"/>
        <v>0.37303725580330593</v>
      </c>
      <c r="K44" s="55">
        <v>0.3</v>
      </c>
      <c r="L44" s="79"/>
      <c r="M44" s="129"/>
      <c r="N44" s="79"/>
      <c r="O44" s="79"/>
      <c r="P44" s="79"/>
      <c r="Q44" s="79"/>
      <c r="R44" s="79"/>
    </row>
    <row r="45" spans="1:18" ht="12.75" customHeight="1" x14ac:dyDescent="0.35">
      <c r="A45" s="79"/>
      <c r="B45" s="74" t="s">
        <v>77</v>
      </c>
      <c r="C45" s="92" t="s">
        <v>18</v>
      </c>
      <c r="D45" s="125">
        <v>502.85</v>
      </c>
      <c r="E45" s="86">
        <f t="shared" ca="1" si="15"/>
        <v>10333.57</v>
      </c>
      <c r="F45" s="20">
        <v>0.64</v>
      </c>
      <c r="G45" s="126">
        <f t="shared" si="16"/>
        <v>321.82400000000001</v>
      </c>
      <c r="H45" s="126">
        <f t="shared" ca="1" si="17"/>
        <v>6613.4847999999993</v>
      </c>
      <c r="I45" s="127">
        <f t="shared" si="18"/>
        <v>10.765042694092958</v>
      </c>
      <c r="J45" s="127">
        <f t="shared" ca="1" si="19"/>
        <v>17.929333002099387</v>
      </c>
      <c r="K45" s="55">
        <v>12</v>
      </c>
      <c r="L45" s="79"/>
      <c r="M45" s="129"/>
      <c r="N45" s="79"/>
      <c r="O45" s="79"/>
      <c r="P45" s="79"/>
      <c r="Q45" s="79"/>
      <c r="R45" s="79"/>
    </row>
    <row r="46" spans="1:18" ht="12.75" customHeight="1" x14ac:dyDescent="0.35">
      <c r="A46" s="79"/>
      <c r="B46" s="74" t="s">
        <v>78</v>
      </c>
      <c r="C46" s="92" t="s">
        <v>18</v>
      </c>
      <c r="D46" s="125">
        <v>15</v>
      </c>
      <c r="E46" s="86">
        <f t="shared" ca="1" si="15"/>
        <v>152</v>
      </c>
      <c r="F46" s="20">
        <v>24</v>
      </c>
      <c r="G46" s="126">
        <f t="shared" si="16"/>
        <v>360</v>
      </c>
      <c r="H46" s="126">
        <f t="shared" ca="1" si="17"/>
        <v>3648</v>
      </c>
      <c r="I46" s="127">
        <f t="shared" si="18"/>
        <v>0.32112089173987152</v>
      </c>
      <c r="J46" s="127">
        <f t="shared" ca="1" si="19"/>
        <v>0.2637286645679186</v>
      </c>
      <c r="K46" s="55">
        <v>0.4</v>
      </c>
      <c r="L46" s="79"/>
      <c r="M46" s="129"/>
      <c r="N46" s="79"/>
      <c r="O46" s="79"/>
      <c r="P46" s="79"/>
      <c r="Q46" s="79"/>
      <c r="R46" s="79"/>
    </row>
    <row r="47" spans="1:18" ht="12.75" customHeight="1" x14ac:dyDescent="0.35">
      <c r="A47" s="79"/>
      <c r="B47" s="74" t="s">
        <v>79</v>
      </c>
      <c r="C47" s="92" t="s">
        <v>18</v>
      </c>
      <c r="D47" s="125"/>
      <c r="E47" s="86">
        <f t="shared" ca="1" si="15"/>
        <v>72</v>
      </c>
      <c r="F47" s="20">
        <v>41.96</v>
      </c>
      <c r="G47" s="126">
        <f t="shared" si="16"/>
        <v>0</v>
      </c>
      <c r="H47" s="126">
        <f t="shared" ca="1" si="17"/>
        <v>3021.12</v>
      </c>
      <c r="I47" s="127">
        <f t="shared" si="18"/>
        <v>0</v>
      </c>
      <c r="J47" s="127">
        <f t="shared" ca="1" si="19"/>
        <v>0.12492410426901407</v>
      </c>
      <c r="K47" s="55">
        <v>0.2</v>
      </c>
      <c r="L47" s="79"/>
      <c r="M47" s="129"/>
      <c r="N47" s="79"/>
      <c r="O47" s="79"/>
      <c r="P47" s="79"/>
      <c r="Q47" s="79"/>
      <c r="R47" s="79"/>
    </row>
    <row r="48" spans="1:18" ht="12.75" customHeight="1" x14ac:dyDescent="0.35">
      <c r="B48" s="74" t="s">
        <v>80</v>
      </c>
      <c r="C48" s="92" t="s">
        <v>18</v>
      </c>
      <c r="D48" s="125">
        <v>145.55000000000001</v>
      </c>
      <c r="E48" s="86">
        <f t="shared" ca="1" si="15"/>
        <v>1233.3200000000002</v>
      </c>
      <c r="F48" s="20">
        <v>23.51</v>
      </c>
      <c r="G48" s="126">
        <f t="shared" si="16"/>
        <v>3421.8805000000007</v>
      </c>
      <c r="H48" s="126">
        <f t="shared" ca="1" si="17"/>
        <v>28995.353200000005</v>
      </c>
      <c r="I48" s="127">
        <f t="shared" si="18"/>
        <v>3.1159430528492202</v>
      </c>
      <c r="J48" s="127">
        <f t="shared" ca="1" si="19"/>
        <v>2.1398805038480622</v>
      </c>
      <c r="K48" s="55">
        <v>2</v>
      </c>
      <c r="M48" s="129"/>
    </row>
    <row r="49" spans="2:13" ht="12.75" customHeight="1" x14ac:dyDescent="0.35">
      <c r="B49" s="74" t="s">
        <v>81</v>
      </c>
      <c r="C49" s="92" t="s">
        <v>18</v>
      </c>
      <c r="D49" s="125"/>
      <c r="E49" s="86">
        <f t="shared" ca="1" si="15"/>
        <v>50</v>
      </c>
      <c r="F49" s="20">
        <v>41.96</v>
      </c>
      <c r="G49" s="126">
        <f t="shared" si="16"/>
        <v>0</v>
      </c>
      <c r="H49" s="126">
        <f t="shared" ca="1" si="17"/>
        <v>2098</v>
      </c>
      <c r="I49" s="127">
        <f t="shared" si="18"/>
        <v>0</v>
      </c>
      <c r="J49" s="127">
        <f t="shared" ca="1" si="19"/>
        <v>8.6752850186815333E-2</v>
      </c>
      <c r="K49" s="55">
        <v>0.5</v>
      </c>
      <c r="M49" s="129"/>
    </row>
    <row r="50" spans="2:13" ht="12.75" customHeight="1" x14ac:dyDescent="0.35">
      <c r="B50" s="74" t="s">
        <v>82</v>
      </c>
      <c r="C50" s="130" t="s">
        <v>18</v>
      </c>
      <c r="D50" s="125"/>
      <c r="E50" s="86">
        <f t="shared" ca="1" si="15"/>
        <v>116.86</v>
      </c>
      <c r="F50" s="20">
        <v>43.43</v>
      </c>
      <c r="G50" s="126">
        <f t="shared" si="16"/>
        <v>0</v>
      </c>
      <c r="H50" s="126">
        <f t="shared" ca="1" si="17"/>
        <v>5075.2298000000001</v>
      </c>
      <c r="I50" s="127">
        <f t="shared" si="18"/>
        <v>0</v>
      </c>
      <c r="J50" s="126">
        <f t="shared" ca="1" si="19"/>
        <v>0.2027587614566248</v>
      </c>
      <c r="K50" s="55">
        <v>0.05</v>
      </c>
    </row>
    <row r="51" spans="2:13" ht="12.75" customHeight="1" x14ac:dyDescent="0.35">
      <c r="B51" s="74" t="s">
        <v>63</v>
      </c>
      <c r="C51" s="130" t="s">
        <v>18</v>
      </c>
      <c r="D51" s="75">
        <v>4406.66</v>
      </c>
      <c r="E51" s="86">
        <f t="shared" ca="1" si="15"/>
        <v>17626.800000000003</v>
      </c>
      <c r="F51" s="76">
        <v>1.03</v>
      </c>
      <c r="G51" s="126">
        <f t="shared" si="16"/>
        <v>4538.8598000000002</v>
      </c>
      <c r="H51" s="126">
        <f t="shared" ca="1" si="17"/>
        <v>18155.604000000003</v>
      </c>
      <c r="I51" s="127">
        <f t="shared" si="18"/>
        <v>94.338039252961465</v>
      </c>
      <c r="J51" s="126">
        <f t="shared" ca="1" si="19"/>
        <v>30.583502793459132</v>
      </c>
      <c r="K51" s="55">
        <v>0</v>
      </c>
    </row>
    <row r="52" spans="2:13" ht="12.75" customHeight="1" x14ac:dyDescent="0.35">
      <c r="B52" s="74" t="s">
        <v>83</v>
      </c>
      <c r="C52" s="130" t="s">
        <v>36</v>
      </c>
      <c r="D52" s="75">
        <v>280</v>
      </c>
      <c r="E52" s="86">
        <f t="shared" ca="1" si="15"/>
        <v>640</v>
      </c>
      <c r="F52" s="76">
        <v>26.1</v>
      </c>
      <c r="G52" s="20">
        <f t="shared" si="16"/>
        <v>7308</v>
      </c>
      <c r="H52" s="126">
        <f t="shared" ca="1" si="17"/>
        <v>16704</v>
      </c>
      <c r="I52" s="127">
        <f t="shared" si="18"/>
        <v>5.9942566458109345</v>
      </c>
      <c r="J52" s="126">
        <f t="shared" ca="1" si="19"/>
        <v>1.110436482391236</v>
      </c>
      <c r="K52" s="23">
        <v>2.5</v>
      </c>
    </row>
    <row r="53" spans="2:13" ht="12.75" customHeight="1" x14ac:dyDescent="0.35">
      <c r="B53" s="74" t="s">
        <v>91</v>
      </c>
      <c r="C53" s="130" t="s">
        <v>36</v>
      </c>
      <c r="D53" s="75"/>
      <c r="E53" s="86">
        <f t="shared" ca="1" si="15"/>
        <v>84.419999999999987</v>
      </c>
      <c r="F53" s="76">
        <v>26.42</v>
      </c>
      <c r="G53" s="131">
        <f t="shared" si="16"/>
        <v>0</v>
      </c>
      <c r="H53" s="126">
        <f t="shared" ca="1" si="17"/>
        <v>2230.3763999999996</v>
      </c>
      <c r="I53" s="127">
        <f t="shared" si="18"/>
        <v>0</v>
      </c>
      <c r="J53" s="126">
        <f t="shared" ca="1" si="19"/>
        <v>0.14647351225541899</v>
      </c>
      <c r="K53" s="23">
        <v>0.3</v>
      </c>
    </row>
    <row r="54" spans="2:13" ht="15" customHeight="1" x14ac:dyDescent="0.35">
      <c r="B54" s="74" t="s">
        <v>106</v>
      </c>
      <c r="C54" s="130" t="s">
        <v>36</v>
      </c>
      <c r="D54" s="75">
        <v>51.69</v>
      </c>
      <c r="E54" s="86">
        <f t="shared" ca="1" si="15"/>
        <v>51.69</v>
      </c>
      <c r="F54" s="76">
        <v>14</v>
      </c>
      <c r="G54" s="131">
        <f t="shared" si="16"/>
        <v>723.66</v>
      </c>
      <c r="H54" s="126">
        <f t="shared" ca="1" si="17"/>
        <v>723.66</v>
      </c>
      <c r="I54" s="127">
        <f t="shared" si="18"/>
        <v>1.1065825929355972</v>
      </c>
      <c r="J54" s="126">
        <f t="shared" ca="1" si="19"/>
        <v>8.9685096523129698E-2</v>
      </c>
      <c r="K54" s="23"/>
    </row>
  </sheetData>
  <mergeCells count="6">
    <mergeCell ref="F16:H16"/>
    <mergeCell ref="I16:J16"/>
    <mergeCell ref="C3:G3"/>
    <mergeCell ref="D4:E4"/>
    <mergeCell ref="F4:H4"/>
    <mergeCell ref="I4:J4"/>
  </mergeCells>
  <printOptions horizontalCentered="1" verticalCentered="1"/>
  <pageMargins left="0" right="0" top="0" bottom="0" header="0.511811023622047" footer="0.511811023622047"/>
  <pageSetup paperSize="9" scale="8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3176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9</vt:i4>
      </vt:variant>
    </vt:vector>
  </HeadingPairs>
  <TitlesOfParts>
    <vt:vector size="19" baseType="lpstr">
      <vt:lpstr>semana 1</vt:lpstr>
      <vt:lpstr>semana 2</vt:lpstr>
      <vt:lpstr>semana 3</vt:lpstr>
      <vt:lpstr>semana 4</vt:lpstr>
      <vt:lpstr>semana 5</vt:lpstr>
      <vt:lpstr>semana 6</vt:lpstr>
      <vt:lpstr>semana 7</vt:lpstr>
      <vt:lpstr>semana 8</vt:lpstr>
      <vt:lpstr>semana 9</vt:lpstr>
      <vt:lpstr>semana 10</vt:lpstr>
      <vt:lpstr>'semana 1'!Area_de_impressao</vt:lpstr>
      <vt:lpstr>'semana 10'!Area_de_impressao</vt:lpstr>
      <vt:lpstr>'semana 3'!Area_de_impressao</vt:lpstr>
      <vt:lpstr>'semana 4'!Area_de_impressao</vt:lpstr>
      <vt:lpstr>'semana 5'!Area_de_impressao</vt:lpstr>
      <vt:lpstr>'semana 6'!Area_de_impressao</vt:lpstr>
      <vt:lpstr>'semana 7'!Area_de_impressao</vt:lpstr>
      <vt:lpstr>'semana 8'!Area_de_impressao</vt:lpstr>
      <vt:lpstr>'semana 9'!Area_de_impressao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aparecido donizete</dc:creator>
  <dc:description/>
  <cp:lastModifiedBy>aparecido donizete</cp:lastModifiedBy>
  <cp:revision>276</cp:revision>
  <cp:lastPrinted>2026-05-20T01:10:38Z</cp:lastPrinted>
  <dcterms:created xsi:type="dcterms:W3CDTF">2023-09-03T16:55:52Z</dcterms:created>
  <dcterms:modified xsi:type="dcterms:W3CDTF">2026-06-25T15:38:22Z</dcterms:modified>
  <dc:language>pt-BR</dc:language>
</cp:coreProperties>
</file>